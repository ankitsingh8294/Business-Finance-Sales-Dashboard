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lculations" sheetId="2" state="visible" r:id="rId4"/>
    <sheet name="Raw Data" sheetId="3" state="visible" r:id="rId5"/>
    <sheet name="Pivot Analysis" sheetId="4" state="visible" r:id="rId6"/>
    <sheet name="KPI Summary" sheetId="5" state="visible" r:id="rId7"/>
    <sheet name="Dashboard" sheetId="6" state="visible" r:id="rId8"/>
    <sheet name="Insights"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Assumption: category-level operating expense (packaging, logistics, marketing, handling) modelled as a % of Revenue. Source: assumed figures for this portfolio project, set by Ankit Anand based on typical e-commerce cost ranges.</t>
        </r>
      </text>
    </comment>
  </commentList>
</comments>
</file>

<file path=xl/sharedStrings.xml><?xml version="1.0" encoding="utf-8"?>
<sst xmlns="http://schemas.openxmlformats.org/spreadsheetml/2006/main" count="5354" uniqueCount="1198">
  <si>
    <t xml:space="preserve">Business Finance &amp; Sales Performance Dashboard</t>
  </si>
  <si>
    <t xml:space="preserve">Fictional Company: Nexora Retail Solutions  |  Self-Initiated Portfolio Project</t>
  </si>
  <si>
    <t xml:space="preserve">PROJECT TITLE</t>
  </si>
  <si>
    <t xml:space="preserve">Business Finance &amp; Sales Performance Dashboard - Nexora Retail Solutions (Fictional Company)</t>
  </si>
  <si>
    <t xml:space="preserve">DISCLAIMER</t>
  </si>
  <si>
    <t xml:space="preserve">This is a self-initiated portfolio project built with fictional company data. "Nexora Retail Solutions" is not a real company, and no real client, employer, or business relationship is implied anywhere in this file. All transactions, customers, and employees are randomly generated for demonstration purposes only. This project was created independently by Ankit Anand to practice and demonstrate Excel, financial analysis and data reporting skills for job applications.</t>
  </si>
  <si>
    <t xml:space="preserve">BUSINESS SCENARIO</t>
  </si>
  <si>
    <t xml:space="preserve">Nexora Retail Solutions is a fictional small-to-medium e-commerce retailer selling consumer electronics (audio devices, mobile accessories, computer peripherals, smart home devices, wearables and cameras) across 5 regions of India. The dataset simulates 12 months of order-level sales data (Aug 2025 - Jul 2026) so the workbook has a full seasonal cycle to analyse.</t>
  </si>
  <si>
    <t xml:space="preserve">PROBLEM STATEMENT</t>
  </si>
  <si>
    <t xml:space="preserve">Management has order-level data sitting in a flat spreadsheet but no simple way to see revenue, cost, profit and performance trends by month, region, category, product or salesperson. This project builds a clean data model and dashboard to turn that raw data into decision-ready KPIs and visuals.</t>
  </si>
  <si>
    <t xml:space="preserve">OBJECTIVE</t>
  </si>
  <si>
    <t xml:space="preserve">Build an Excel-based finance and sales analysis system that: (1) calculates revenue, cost of goods sold (COGS), gross profit, operating expense and net profit for every order using formulas; (2) summarises performance by month, region, category, product, salesperson and payment method; and (3) presents the results on a single-page, recruiter-friendly dashboard with KPI cards and charts.</t>
  </si>
  <si>
    <t xml:space="preserve">TOOLS USED</t>
  </si>
  <si>
    <t xml:space="preserve">Microsoft Excel - Excel Tables, SUMIFS / COUNTIFS / AVERAGEIFS, INDEX &amp; MATCH, IF / IFERROR, date functions (TEXT, EOMONTH), Conditional Formatting, SUMIFS-based pivot-style summary tables, native Excel PivotTables (optional - build steps included on the Pivot Analysis sheet), Bar / Line / Pie charts, and AutoFilter (built into the Raw Data table) for exploring the raw dataset directly in Excel.</t>
  </si>
  <si>
    <t xml:space="preserve">DATASET DESCRIPTION</t>
  </si>
  <si>
    <t xml:space="preserve">560 individual order transactions, 12 months (Aug 2025 - Jul 2026), 5 regions, 10 cities, 22 products across 6 categories, 8 salespersons, 5 payment methods and 4 order statuses (Delivered, Cancelled, Returned, Pending). See the 'Raw Data' sheet for the full transaction list and the 'Calculations' sheet for the product cost and expense reference tables the formulas pull from.</t>
  </si>
  <si>
    <t xml:space="preserve">KEY KPIs</t>
  </si>
  <si>
    <t xml:space="preserve">Total Revenue, Total COGS, Gross Profit, Gross Margin %, Operating Expenses, Net Profit, Net Profit Margin %, Total Orders Placed, Recognized Orders, Cancelled/Returned Orders, Total Units Sold, Average Order Value (AOV), Average Selling Price (ASP). All calculated live from the Raw Data sheet - see 'KPI Summary'.</t>
  </si>
  <si>
    <t xml:space="preserve">WHAT THIS PROJECT DEMONSTRATES</t>
  </si>
  <si>
    <t xml:space="preserve">Practical, interview-explainable skills in Excel formulas, data cleaning/preparation, lookup-based data modelling, pivot-style summarisation, KPI reporting, dashboard design and drawing supportable business insights from data - the core skill set for Accounts Assistant, MIS Executive, Operations/Business Support and junior data &amp; reporting roles.</t>
  </si>
  <si>
    <t xml:space="preserve">REVENUE RECOGNITION RULE</t>
  </si>
  <si>
    <t xml:space="preserve">Cancelled and Returned orders are excluded from Revenue, COGS, Gross Profit, Operating Expense and Net Profit everywhere in this workbook - only Delivered and Pending orders are treated as recognized business, which is why every KPI, pivot table, chart and insight uses the same 'excluding Cancelled/Returned' filter. The one deliberate exception is the Order Status Distribution table on the Pivot Analysis sheet, which shows all order statuses by design so the cancellation/return rate itself is visible.</t>
  </si>
  <si>
    <t xml:space="preserve">IMPORTANT ASSUMPTIONS</t>
  </si>
  <si>
    <t xml:space="preserve">Unit cost per product and the operating-expense % per category are assumed reference figures (stored in the 'Calculations' sheet), not real supplier or accounting data.</t>
  </si>
  <si>
    <t xml:space="preserve">Operating Expense is modelled as a category-level percentage of Revenue (covers packaging, logistics, marketing and handling) - a simplified but logical approach for a portfolio project.</t>
  </si>
  <si>
    <t xml:space="preserve">Revenue is recognized only for Delivered and Pending orders; Cancelled and Returned orders are excluded from every financial figure in this workbook (see 'Revenue Recognition Rule' above).</t>
  </si>
  <si>
    <t xml:space="preserve">Currency is shown in Indian Rupees (Rs.) as the business is modelled on an Indian retail company.</t>
  </si>
  <si>
    <t xml:space="preserve">WORKBOOK CONTENTS</t>
  </si>
  <si>
    <t xml:space="preserve">README</t>
  </si>
  <si>
    <t xml:space="preserve">This overview sheet.</t>
  </si>
  <si>
    <t xml:space="preserve">Raw Data</t>
  </si>
  <si>
    <t xml:space="preserve">560-row transaction table (Excel Table) - the single source of truth for every formula in the workbook.</t>
  </si>
  <si>
    <t xml:space="preserve">Calculations</t>
  </si>
  <si>
    <t xml:space="preserve">Product cost master, category operating-expense table, and the monthly SUMIFS aggregation used by the dashboard charts.</t>
  </si>
  <si>
    <t xml:space="preserve">Pivot Analysis</t>
  </si>
  <si>
    <t xml:space="preserve">SUMIFS/COUNTIFS-based pivot-style summary tables by region, category, product, salesperson, month, payment method and order status.</t>
  </si>
  <si>
    <t xml:space="preserve">KPI Summary</t>
  </si>
  <si>
    <t xml:space="preserve">The single-cell headline KPIs, all formula-driven.</t>
  </si>
  <si>
    <t xml:space="preserve">Dashboard</t>
  </si>
  <si>
    <t xml:space="preserve">One-page management dashboard: KPI cards + 8 charts.</t>
  </si>
  <si>
    <t xml:space="preserve">Insights</t>
  </si>
  <si>
    <t xml:space="preserve">Formula-driven and written business insights, all directly supported by the dataset.</t>
  </si>
  <si>
    <t xml:space="preserve">Calculations / Data Preparation</t>
  </si>
  <si>
    <t xml:space="preserve">Reference tables and monthly aggregations used by formulas throughout this workbook.</t>
  </si>
  <si>
    <t xml:space="preserve">Product Master</t>
  </si>
  <si>
    <t xml:space="preserve">Category Operating Expense %</t>
  </si>
  <si>
    <t xml:space="preserve">Product</t>
  </si>
  <si>
    <t xml:space="preserve">Category</t>
  </si>
  <si>
    <t xml:space="preserve">Unit Cost (Rs.)</t>
  </si>
  <si>
    <t xml:space="preserve">OpEx % of Revenue</t>
  </si>
  <si>
    <t xml:space="preserve">BassPro Wireless Earbuds</t>
  </si>
  <si>
    <t xml:space="preserve">Audio</t>
  </si>
  <si>
    <t xml:space="preserve">SoundWave Bluetooth Speaker</t>
  </si>
  <si>
    <t xml:space="preserve">Mobile Accessories</t>
  </si>
  <si>
    <t xml:space="preserve">StudioMax Over-Ear Headphones</t>
  </si>
  <si>
    <t xml:space="preserve">Computer Peripherals</t>
  </si>
  <si>
    <t xml:space="preserve">EchoBeat Neckband</t>
  </si>
  <si>
    <t xml:space="preserve">Smart Home</t>
  </si>
  <si>
    <t xml:space="preserve">PowerCharge 20W Adapter</t>
  </si>
  <si>
    <t xml:space="preserve">Wearables</t>
  </si>
  <si>
    <t xml:space="preserve">FlexiCable Type-C 1m</t>
  </si>
  <si>
    <t xml:space="preserve">Cameras</t>
  </si>
  <si>
    <t xml:space="preserve">ArmorShield Phone Case</t>
  </si>
  <si>
    <t xml:space="preserve">MagGrip Phone Stand</t>
  </si>
  <si>
    <t xml:space="preserve">ClickPro Wireless Mouse</t>
  </si>
  <si>
    <t xml:space="preserve">TypeMaster Mechanical Keyboard</t>
  </si>
  <si>
    <t xml:space="preserve">ViewClear 24-inch Monitor</t>
  </si>
  <si>
    <t xml:space="preserve">HubConnect 7-in-1 USB-C Hub</t>
  </si>
  <si>
    <t xml:space="preserve">DeskLite LED Lamp</t>
  </si>
  <si>
    <t xml:space="preserve">SmartGlow LED Bulb (Wi-Fi)</t>
  </si>
  <si>
    <t xml:space="preserve">HomeSecure Wi-Fi Camera</t>
  </si>
  <si>
    <t xml:space="preserve">SmartPlug Mini</t>
  </si>
  <si>
    <t xml:space="preserve">VoiceHub Smart Speaker</t>
  </si>
  <si>
    <t xml:space="preserve">FitTrack Smart Band</t>
  </si>
  <si>
    <t xml:space="preserve">PulseFit Smartwatch</t>
  </si>
  <si>
    <t xml:space="preserve">KidSafe GPS Watch</t>
  </si>
  <si>
    <t xml:space="preserve">ActionCam Mini 4K</t>
  </si>
  <si>
    <t xml:space="preserve">HomeView 360 Camera</t>
  </si>
  <si>
    <t xml:space="preserve">Monthly Summary (SUMIFS aggregation from Raw Data)</t>
  </si>
  <si>
    <t xml:space="preserve">Month</t>
  </si>
  <si>
    <t xml:space="preserve">Period Start</t>
  </si>
  <si>
    <t xml:space="preserve">Period End (excl.)</t>
  </si>
  <si>
    <t xml:space="preserve">Total Revenue</t>
  </si>
  <si>
    <t xml:space="preserve">Total COGS</t>
  </si>
  <si>
    <t xml:space="preserve">Gross Profit</t>
  </si>
  <si>
    <t xml:space="preserve">Operating Expense</t>
  </si>
  <si>
    <t xml:space="preserve">Net Profit</t>
  </si>
  <si>
    <t xml:space="preserve">Total Orders</t>
  </si>
  <si>
    <t xml:space="preserve">Aug-25</t>
  </si>
  <si>
    <t xml:space="preserve">Sep-25</t>
  </si>
  <si>
    <t xml:space="preserve">Oct-25</t>
  </si>
  <si>
    <t xml:space="preserve">Nov-25</t>
  </si>
  <si>
    <t xml:space="preserve">Dec-25</t>
  </si>
  <si>
    <t xml:space="preserve">Jan-26</t>
  </si>
  <si>
    <t xml:space="preserve">Feb-26</t>
  </si>
  <si>
    <t xml:space="preserve">Mar-26</t>
  </si>
  <si>
    <t xml:space="preserve">Apr-26</t>
  </si>
  <si>
    <t xml:space="preserve">May-26</t>
  </si>
  <si>
    <t xml:space="preserve">Jun-26</t>
  </si>
  <si>
    <t xml:space="preserve">Jul-26</t>
  </si>
  <si>
    <t xml:space="preserve">Note on Revenue Recognition</t>
  </si>
  <si>
    <t xml:space="preserve">All financial totals in this workbook (Revenue, COGS, Gross Profit, Operating Expense, Net Profit, and the Order/Unit counts used for AOV and ASP) EXCLUDE orders with status 'Cancelled' or 'Returned'. Only 'Delivered' and 'Pending' orders are treated as recognized business. The 'Order Status Distribution' table on the Pivot Analysis sheet is the one exception - it deliberately counts orders of every status, since its purpose is to show the cancellation/return rate.</t>
  </si>
  <si>
    <t xml:space="preserve">Note on PivotTables &amp; Slicers</t>
  </si>
  <si>
    <t xml:space="preserve">The tables above use SUMIFS/COUNTIFS so every number stays traceable and explainable. The 'Raw Data' sheet is a formatted Excel Table, so you can also select any cell in it and go to Insert &gt; PivotTable to build a native PivotTable/PivotChart with Slicers in a few clicks - see the 'How to build a native PivotTable' notes on the Pivot Analysis sheet. No slicer is connected to the Dashboard by default in this file.</t>
  </si>
  <si>
    <t xml:space="preserve">Order ID</t>
  </si>
  <si>
    <t xml:space="preserve">Order Date</t>
  </si>
  <si>
    <t xml:space="preserve">Customer ID</t>
  </si>
  <si>
    <t xml:space="preserve">Customer Name</t>
  </si>
  <si>
    <t xml:space="preserve">Region</t>
  </si>
  <si>
    <t xml:space="preserve">City</t>
  </si>
  <si>
    <t xml:space="preserve">Salesperson</t>
  </si>
  <si>
    <t xml:space="preserve">Quantity</t>
  </si>
  <si>
    <t xml:space="preserve">Unit Price</t>
  </si>
  <si>
    <t xml:space="preserve">Discount %</t>
  </si>
  <si>
    <t xml:space="preserve">Revenue</t>
  </si>
  <si>
    <t xml:space="preserve">COGS</t>
  </si>
  <si>
    <t xml:space="preserve">Payment Method</t>
  </si>
  <si>
    <t xml:space="preserve">Order Status</t>
  </si>
  <si>
    <t xml:space="preserve">ORD-00001</t>
  </si>
  <si>
    <t xml:space="preserve">CUST-0003</t>
  </si>
  <si>
    <t xml:space="preserve">Komal Chauhan</t>
  </si>
  <si>
    <t xml:space="preserve">Central</t>
  </si>
  <si>
    <t xml:space="preserve">Bhopal</t>
  </si>
  <si>
    <t xml:space="preserve">Arjun Mehta</t>
  </si>
  <si>
    <t xml:space="preserve">Credit Card</t>
  </si>
  <si>
    <t xml:space="preserve">Delivered</t>
  </si>
  <si>
    <t xml:space="preserve">ORD-00002</t>
  </si>
  <si>
    <t xml:space="preserve">CUST-0033</t>
  </si>
  <si>
    <t xml:space="preserve">Tanvi Kumar</t>
  </si>
  <si>
    <t xml:space="preserve">Kota</t>
  </si>
  <si>
    <t xml:space="preserve">UPI</t>
  </si>
  <si>
    <t xml:space="preserve">ORD-00003</t>
  </si>
  <si>
    <t xml:space="preserve">CUST-0194</t>
  </si>
  <si>
    <t xml:space="preserve">Deepak Nair</t>
  </si>
  <si>
    <t xml:space="preserve">Vikram Singh</t>
  </si>
  <si>
    <t xml:space="preserve">Debit Card</t>
  </si>
  <si>
    <t xml:space="preserve">ORD-00004</t>
  </si>
  <si>
    <t xml:space="preserve">CUST-0141</t>
  </si>
  <si>
    <t xml:space="preserve">Harsh Gupta</t>
  </si>
  <si>
    <t xml:space="preserve">East</t>
  </si>
  <si>
    <t xml:space="preserve">Patna</t>
  </si>
  <si>
    <t xml:space="preserve">Neha Gupta</t>
  </si>
  <si>
    <t xml:space="preserve">ORD-00005</t>
  </si>
  <si>
    <t xml:space="preserve">CUST-0102</t>
  </si>
  <si>
    <t xml:space="preserve">Shreya Iyer</t>
  </si>
  <si>
    <t xml:space="preserve">West</t>
  </si>
  <si>
    <t xml:space="preserve">Mumbai</t>
  </si>
  <si>
    <t xml:space="preserve">Priya Nair</t>
  </si>
  <si>
    <t xml:space="preserve">Pending</t>
  </si>
  <si>
    <t xml:space="preserve">ORD-00006</t>
  </si>
  <si>
    <t xml:space="preserve">CUST-0014</t>
  </si>
  <si>
    <t xml:space="preserve">Harsh Joshi</t>
  </si>
  <si>
    <t xml:space="preserve">Kolkata</t>
  </si>
  <si>
    <t xml:space="preserve">ORD-00007</t>
  </si>
  <si>
    <t xml:space="preserve">CUST-0198</t>
  </si>
  <si>
    <t xml:space="preserve">Divya Sharma</t>
  </si>
  <si>
    <t xml:space="preserve">South</t>
  </si>
  <si>
    <t xml:space="preserve">Chennai</t>
  </si>
  <si>
    <t xml:space="preserve">ORD-00008</t>
  </si>
  <si>
    <t xml:space="preserve">CUST-0104</t>
  </si>
  <si>
    <t xml:space="preserve">Anjali Sharma</t>
  </si>
  <si>
    <t xml:space="preserve">Suresh Kumar</t>
  </si>
  <si>
    <t xml:space="preserve">ORD-00009</t>
  </si>
  <si>
    <t xml:space="preserve">CUST-0035</t>
  </si>
  <si>
    <t xml:space="preserve">Komal Iyer</t>
  </si>
  <si>
    <t xml:space="preserve">Net Banking</t>
  </si>
  <si>
    <t xml:space="preserve">ORD-00010</t>
  </si>
  <si>
    <t xml:space="preserve">CUST-0109</t>
  </si>
  <si>
    <t xml:space="preserve">Divya Bansal</t>
  </si>
  <si>
    <t xml:space="preserve">Bengaluru</t>
  </si>
  <si>
    <t xml:space="preserve">Kavita Rao</t>
  </si>
  <si>
    <t xml:space="preserve">ORD-00011</t>
  </si>
  <si>
    <t xml:space="preserve">CUST-0175</t>
  </si>
  <si>
    <t xml:space="preserve">Yash Kumar</t>
  </si>
  <si>
    <t xml:space="preserve">Ahmedabad</t>
  </si>
  <si>
    <t xml:space="preserve">Rohit Sharma</t>
  </si>
  <si>
    <t xml:space="preserve">ORD-00012</t>
  </si>
  <si>
    <t xml:space="preserve">CUST-0197</t>
  </si>
  <si>
    <t xml:space="preserve">Anjali Kumar</t>
  </si>
  <si>
    <t xml:space="preserve">ORD-00013</t>
  </si>
  <si>
    <t xml:space="preserve">CUST-0218</t>
  </si>
  <si>
    <t xml:space="preserve">Nikhil Chauhan</t>
  </si>
  <si>
    <t xml:space="preserve">ORD-00014</t>
  </si>
  <si>
    <t xml:space="preserve">CUST-0150</t>
  </si>
  <si>
    <t xml:space="preserve">Aditya Joshi</t>
  </si>
  <si>
    <t xml:space="preserve">ORD-00015</t>
  </si>
  <si>
    <t xml:space="preserve">CUST-0222</t>
  </si>
  <si>
    <t xml:space="preserve">Shreya Kumar</t>
  </si>
  <si>
    <t xml:space="preserve">ORD-00016</t>
  </si>
  <si>
    <t xml:space="preserve">CUST-0156</t>
  </si>
  <si>
    <t xml:space="preserve">Aman Joshi</t>
  </si>
  <si>
    <t xml:space="preserve">ORD-00017</t>
  </si>
  <si>
    <t xml:space="preserve">CUST-0112</t>
  </si>
  <si>
    <t xml:space="preserve">Shreya Rao</t>
  </si>
  <si>
    <t xml:space="preserve">North</t>
  </si>
  <si>
    <t xml:space="preserve">Delhi</t>
  </si>
  <si>
    <t xml:space="preserve">ORD-00018</t>
  </si>
  <si>
    <t xml:space="preserve">CUST-0138</t>
  </si>
  <si>
    <t xml:space="preserve">Nikhil Mehta</t>
  </si>
  <si>
    <t xml:space="preserve">ORD-00019</t>
  </si>
  <si>
    <t xml:space="preserve">CUST-0011</t>
  </si>
  <si>
    <t xml:space="preserve">Simran Rao</t>
  </si>
  <si>
    <t xml:space="preserve">ORD-00020</t>
  </si>
  <si>
    <t xml:space="preserve">CUST-0162</t>
  </si>
  <si>
    <t xml:space="preserve">Yash Gupta</t>
  </si>
  <si>
    <t xml:space="preserve">Returned</t>
  </si>
  <si>
    <t xml:space="preserve">ORD-00021</t>
  </si>
  <si>
    <t xml:space="preserve">CUST-0128</t>
  </si>
  <si>
    <t xml:space="preserve">Karan Bansal</t>
  </si>
  <si>
    <t xml:space="preserve">Ananya Verma</t>
  </si>
  <si>
    <t xml:space="preserve">Cancelled</t>
  </si>
  <si>
    <t xml:space="preserve">ORD-00022</t>
  </si>
  <si>
    <t xml:space="preserve">CUST-0214</t>
  </si>
  <si>
    <t xml:space="preserve">Divya Kumar</t>
  </si>
  <si>
    <t xml:space="preserve">ORD-00023</t>
  </si>
  <si>
    <t xml:space="preserve">CUST-0210</t>
  </si>
  <si>
    <t xml:space="preserve">Sanjay Reddy</t>
  </si>
  <si>
    <t xml:space="preserve">ORD-00024</t>
  </si>
  <si>
    <t xml:space="preserve">CUST-0050</t>
  </si>
  <si>
    <t xml:space="preserve">Yash Nair</t>
  </si>
  <si>
    <t xml:space="preserve">ORD-00025</t>
  </si>
  <si>
    <t xml:space="preserve">CUST-0016</t>
  </si>
  <si>
    <t xml:space="preserve">Divya Verma</t>
  </si>
  <si>
    <t xml:space="preserve">ORD-00026</t>
  </si>
  <si>
    <t xml:space="preserve">CUST-0116</t>
  </si>
  <si>
    <t xml:space="preserve">Vivek Iyer</t>
  </si>
  <si>
    <t xml:space="preserve">ORD-00027</t>
  </si>
  <si>
    <t xml:space="preserve">CUST-0168</t>
  </si>
  <si>
    <t xml:space="preserve">Karan Nair</t>
  </si>
  <si>
    <t xml:space="preserve">ORD-00028</t>
  </si>
  <si>
    <t xml:space="preserve">CUST-0139</t>
  </si>
  <si>
    <t xml:space="preserve">Pooja Chauhan</t>
  </si>
  <si>
    <t xml:space="preserve">ORD-00029</t>
  </si>
  <si>
    <t xml:space="preserve">CUST-0192</t>
  </si>
  <si>
    <t xml:space="preserve">Aditya Malhotra</t>
  </si>
  <si>
    <t xml:space="preserve">ORD-00030</t>
  </si>
  <si>
    <t xml:space="preserve">CUST-0161</t>
  </si>
  <si>
    <t xml:space="preserve">Divya Joshi</t>
  </si>
  <si>
    <t xml:space="preserve">ORD-00031</t>
  </si>
  <si>
    <t xml:space="preserve">ORD-00032</t>
  </si>
  <si>
    <t xml:space="preserve">CUST-0170</t>
  </si>
  <si>
    <t xml:space="preserve">Aman Kumar</t>
  </si>
  <si>
    <t xml:space="preserve">ORD-00033</t>
  </si>
  <si>
    <t xml:space="preserve">Cash on Delivery</t>
  </si>
  <si>
    <t xml:space="preserve">ORD-00034</t>
  </si>
  <si>
    <t xml:space="preserve">CUST-0028</t>
  </si>
  <si>
    <t xml:space="preserve">Pallavi Joshi</t>
  </si>
  <si>
    <t xml:space="preserve">ORD-00035</t>
  </si>
  <si>
    <t xml:space="preserve">CUST-0145</t>
  </si>
  <si>
    <t xml:space="preserve">Anjali Mehta</t>
  </si>
  <si>
    <t xml:space="preserve">ORD-00036</t>
  </si>
  <si>
    <t xml:space="preserve">CUST-0177</t>
  </si>
  <si>
    <t xml:space="preserve">Sneha Nair</t>
  </si>
  <si>
    <t xml:space="preserve">ORD-00037</t>
  </si>
  <si>
    <t xml:space="preserve">CUST-0005</t>
  </si>
  <si>
    <t xml:space="preserve">Karan Gupta</t>
  </si>
  <si>
    <t xml:space="preserve">ORD-00038</t>
  </si>
  <si>
    <t xml:space="preserve">CUST-0229</t>
  </si>
  <si>
    <t xml:space="preserve">Harsh Singh</t>
  </si>
  <si>
    <t xml:space="preserve">Jaipur</t>
  </si>
  <si>
    <t xml:space="preserve">ORD-00039</t>
  </si>
  <si>
    <t xml:space="preserve">CUST-0148</t>
  </si>
  <si>
    <t xml:space="preserve">Vivek Bansal</t>
  </si>
  <si>
    <t xml:space="preserve">ORD-00040</t>
  </si>
  <si>
    <t xml:space="preserve">CUST-0069</t>
  </si>
  <si>
    <t xml:space="preserve">Meera Gupta</t>
  </si>
  <si>
    <t xml:space="preserve">ORD-00041</t>
  </si>
  <si>
    <t xml:space="preserve">CUST-0010</t>
  </si>
  <si>
    <t xml:space="preserve">Sanjay Verma</t>
  </si>
  <si>
    <t xml:space="preserve">ORD-00042</t>
  </si>
  <si>
    <t xml:space="preserve">CUST-0223</t>
  </si>
  <si>
    <t xml:space="preserve">Shreya Mehta</t>
  </si>
  <si>
    <t xml:space="preserve">ORD-00043</t>
  </si>
  <si>
    <t xml:space="preserve">ORD-00044</t>
  </si>
  <si>
    <t xml:space="preserve">CUST-0201</t>
  </si>
  <si>
    <t xml:space="preserve">Sneha Reddy</t>
  </si>
  <si>
    <t xml:space="preserve">ORD-00045</t>
  </si>
  <si>
    <t xml:space="preserve">CUST-0209</t>
  </si>
  <si>
    <t xml:space="preserve">Meera Rao</t>
  </si>
  <si>
    <t xml:space="preserve">ORD-00046</t>
  </si>
  <si>
    <t xml:space="preserve">CUST-0195</t>
  </si>
  <si>
    <t xml:space="preserve">Tanvi Sharma</t>
  </si>
  <si>
    <t xml:space="preserve">ORD-00047</t>
  </si>
  <si>
    <t xml:space="preserve">ORD-00048</t>
  </si>
  <si>
    <t xml:space="preserve">CUST-0165</t>
  </si>
  <si>
    <t xml:space="preserve">Aman Bansal</t>
  </si>
  <si>
    <t xml:space="preserve">ORD-00049</t>
  </si>
  <si>
    <t xml:space="preserve">CUST-0085</t>
  </si>
  <si>
    <t xml:space="preserve">Sneha Rao</t>
  </si>
  <si>
    <t xml:space="preserve">ORD-00050</t>
  </si>
  <si>
    <t xml:space="preserve">CUST-0135</t>
  </si>
  <si>
    <t xml:space="preserve">Yash Agarwal</t>
  </si>
  <si>
    <t xml:space="preserve">ORD-00051</t>
  </si>
  <si>
    <t xml:space="preserve">ORD-00052</t>
  </si>
  <si>
    <t xml:space="preserve">ORD-00053</t>
  </si>
  <si>
    <t xml:space="preserve">ORD-00054</t>
  </si>
  <si>
    <t xml:space="preserve">ORD-00055</t>
  </si>
  <si>
    <t xml:space="preserve">CUST-0073</t>
  </si>
  <si>
    <t xml:space="preserve">Divya Gupta</t>
  </si>
  <si>
    <t xml:space="preserve">ORD-00056</t>
  </si>
  <si>
    <t xml:space="preserve">CUST-0205</t>
  </si>
  <si>
    <t xml:space="preserve">Yash Mehta</t>
  </si>
  <si>
    <t xml:space="preserve">ORD-00057</t>
  </si>
  <si>
    <t xml:space="preserve">ORD-00058</t>
  </si>
  <si>
    <t xml:space="preserve">CUST-0024</t>
  </si>
  <si>
    <t xml:space="preserve">Rahul Verma</t>
  </si>
  <si>
    <t xml:space="preserve">ORD-00059</t>
  </si>
  <si>
    <t xml:space="preserve">CUST-0227</t>
  </si>
  <si>
    <t xml:space="preserve">Riya Singh</t>
  </si>
  <si>
    <t xml:space="preserve">ORD-00060</t>
  </si>
  <si>
    <t xml:space="preserve">ORD-00061</t>
  </si>
  <si>
    <t xml:space="preserve">ORD-00062</t>
  </si>
  <si>
    <t xml:space="preserve">CUST-0221</t>
  </si>
  <si>
    <t xml:space="preserve">Pallavi Nair</t>
  </si>
  <si>
    <t xml:space="preserve">ORD-00063</t>
  </si>
  <si>
    <t xml:space="preserve">CUST-0146</t>
  </si>
  <si>
    <t xml:space="preserve">Rajesh Chauhan</t>
  </si>
  <si>
    <t xml:space="preserve">ORD-00064</t>
  </si>
  <si>
    <t xml:space="preserve">CUST-0215</t>
  </si>
  <si>
    <t xml:space="preserve">Sneha Chauhan</t>
  </si>
  <si>
    <t xml:space="preserve">ORD-00065</t>
  </si>
  <si>
    <t xml:space="preserve">CUST-0096</t>
  </si>
  <si>
    <t xml:space="preserve">Harsh Nair</t>
  </si>
  <si>
    <t xml:space="preserve">ORD-00066</t>
  </si>
  <si>
    <t xml:space="preserve">ORD-00067</t>
  </si>
  <si>
    <t xml:space="preserve">ORD-00068</t>
  </si>
  <si>
    <t xml:space="preserve">CUST-0078</t>
  </si>
  <si>
    <t xml:space="preserve">Rajesh Joshi</t>
  </si>
  <si>
    <t xml:space="preserve">ORD-00069</t>
  </si>
  <si>
    <t xml:space="preserve">CUST-0043</t>
  </si>
  <si>
    <t xml:space="preserve">Simran Iyer</t>
  </si>
  <si>
    <t xml:space="preserve">ORD-00070</t>
  </si>
  <si>
    <t xml:space="preserve">CUST-0154</t>
  </si>
  <si>
    <t xml:space="preserve">Aman Chauhan</t>
  </si>
  <si>
    <t xml:space="preserve">ORD-00071</t>
  </si>
  <si>
    <t xml:space="preserve">CUST-0153</t>
  </si>
  <si>
    <t xml:space="preserve">Anjali Nair</t>
  </si>
  <si>
    <t xml:space="preserve">ORD-00072</t>
  </si>
  <si>
    <t xml:space="preserve">CUST-0163</t>
  </si>
  <si>
    <t xml:space="preserve">Komal Joshi</t>
  </si>
  <si>
    <t xml:space="preserve">ORD-00073</t>
  </si>
  <si>
    <t xml:space="preserve">CUST-0093</t>
  </si>
  <si>
    <t xml:space="preserve">Nikhil Kumar</t>
  </si>
  <si>
    <t xml:space="preserve">ORD-00074</t>
  </si>
  <si>
    <t xml:space="preserve">CUST-0068</t>
  </si>
  <si>
    <t xml:space="preserve">Sneha Singh</t>
  </si>
  <si>
    <t xml:space="preserve">ORD-00075</t>
  </si>
  <si>
    <t xml:space="preserve">ORD-00076</t>
  </si>
  <si>
    <t xml:space="preserve">ORD-00077</t>
  </si>
  <si>
    <t xml:space="preserve">CUST-0176</t>
  </si>
  <si>
    <t xml:space="preserve">Aman Verma</t>
  </si>
  <si>
    <t xml:space="preserve">ORD-00078</t>
  </si>
  <si>
    <t xml:space="preserve">CUST-0225</t>
  </si>
  <si>
    <t xml:space="preserve">Sanjay Chauhan</t>
  </si>
  <si>
    <t xml:space="preserve">ORD-00079</t>
  </si>
  <si>
    <t xml:space="preserve">CUST-0017</t>
  </si>
  <si>
    <t xml:space="preserve">Vivek Nair</t>
  </si>
  <si>
    <t xml:space="preserve">ORD-00080</t>
  </si>
  <si>
    <t xml:space="preserve">CUST-0084</t>
  </si>
  <si>
    <t xml:space="preserve">Rahul Singh</t>
  </si>
  <si>
    <t xml:space="preserve">ORD-00081</t>
  </si>
  <si>
    <t xml:space="preserve">ORD-00082</t>
  </si>
  <si>
    <t xml:space="preserve">CUST-0036</t>
  </si>
  <si>
    <t xml:space="preserve">Harsh Rao</t>
  </si>
  <si>
    <t xml:space="preserve">ORD-00083</t>
  </si>
  <si>
    <t xml:space="preserve">CUST-0211</t>
  </si>
  <si>
    <t xml:space="preserve">Divya Reddy</t>
  </si>
  <si>
    <t xml:space="preserve">ORD-00084</t>
  </si>
  <si>
    <t xml:space="preserve">CUST-0013</t>
  </si>
  <si>
    <t xml:space="preserve">Vivek Verma</t>
  </si>
  <si>
    <t xml:space="preserve">ORD-00085</t>
  </si>
  <si>
    <t xml:space="preserve">CUST-0127</t>
  </si>
  <si>
    <t xml:space="preserve">Nikhil Reddy</t>
  </si>
  <si>
    <t xml:space="preserve">ORD-00086</t>
  </si>
  <si>
    <t xml:space="preserve">CUST-0187</t>
  </si>
  <si>
    <t xml:space="preserve">Simran Bansal</t>
  </si>
  <si>
    <t xml:space="preserve">ORD-00087</t>
  </si>
  <si>
    <t xml:space="preserve">ORD-00088</t>
  </si>
  <si>
    <t xml:space="preserve">CUST-0107</t>
  </si>
  <si>
    <t xml:space="preserve">Riya Bansal</t>
  </si>
  <si>
    <t xml:space="preserve">ORD-00089</t>
  </si>
  <si>
    <t xml:space="preserve">CUST-0029</t>
  </si>
  <si>
    <t xml:space="preserve">Isha Gupta</t>
  </si>
  <si>
    <t xml:space="preserve">ORD-00090</t>
  </si>
  <si>
    <t xml:space="preserve">ORD-00091</t>
  </si>
  <si>
    <t xml:space="preserve">ORD-00092</t>
  </si>
  <si>
    <t xml:space="preserve">CUST-0045</t>
  </si>
  <si>
    <t xml:space="preserve">Karan Chauhan</t>
  </si>
  <si>
    <t xml:space="preserve">ORD-00093</t>
  </si>
  <si>
    <t xml:space="preserve">CUST-0204</t>
  </si>
  <si>
    <t xml:space="preserve">Deepak Verma</t>
  </si>
  <si>
    <t xml:space="preserve">ORD-00094</t>
  </si>
  <si>
    <t xml:space="preserve">CUST-0207</t>
  </si>
  <si>
    <t xml:space="preserve">Rahul Joshi</t>
  </si>
  <si>
    <t xml:space="preserve">ORD-00095</t>
  </si>
  <si>
    <t xml:space="preserve">CUST-0166</t>
  </si>
  <si>
    <t xml:space="preserve">Simran Mehta</t>
  </si>
  <si>
    <t xml:space="preserve">ORD-00096</t>
  </si>
  <si>
    <t xml:space="preserve">CUST-0063</t>
  </si>
  <si>
    <t xml:space="preserve">Vivek Chauhan</t>
  </si>
  <si>
    <t xml:space="preserve">ORD-00097</t>
  </si>
  <si>
    <t xml:space="preserve">CUST-0071</t>
  </si>
  <si>
    <t xml:space="preserve">Rahul Iyer</t>
  </si>
  <si>
    <t xml:space="preserve">ORD-00098</t>
  </si>
  <si>
    <t xml:space="preserve">CUST-0143</t>
  </si>
  <si>
    <t xml:space="preserve">Aditya Singh</t>
  </si>
  <si>
    <t xml:space="preserve">ORD-00099</t>
  </si>
  <si>
    <t xml:space="preserve">CUST-0015</t>
  </si>
  <si>
    <t xml:space="preserve">Yash Verma</t>
  </si>
  <si>
    <t xml:space="preserve">ORD-00100</t>
  </si>
  <si>
    <t xml:space="preserve">CUST-0097</t>
  </si>
  <si>
    <t xml:space="preserve">Anjali Agarwal</t>
  </si>
  <si>
    <t xml:space="preserve">ORD-00101</t>
  </si>
  <si>
    <t xml:space="preserve">CUST-0115</t>
  </si>
  <si>
    <t xml:space="preserve">Anjali Joshi</t>
  </si>
  <si>
    <t xml:space="preserve">ORD-00102</t>
  </si>
  <si>
    <t xml:space="preserve">CUST-0049</t>
  </si>
  <si>
    <t xml:space="preserve">Manish Iyer</t>
  </si>
  <si>
    <t xml:space="preserve">ORD-00103</t>
  </si>
  <si>
    <t xml:space="preserve">CUST-0120</t>
  </si>
  <si>
    <t xml:space="preserve">Divya Agarwal</t>
  </si>
  <si>
    <t xml:space="preserve">ORD-00104</t>
  </si>
  <si>
    <t xml:space="preserve">ORD-00105</t>
  </si>
  <si>
    <t xml:space="preserve">ORD-00106</t>
  </si>
  <si>
    <t xml:space="preserve">CUST-0137</t>
  </si>
  <si>
    <t xml:space="preserve">Komal Agarwal</t>
  </si>
  <si>
    <t xml:space="preserve">ORD-00107</t>
  </si>
  <si>
    <t xml:space="preserve">CUST-0001</t>
  </si>
  <si>
    <t xml:space="preserve">Harsh Verma</t>
  </si>
  <si>
    <t xml:space="preserve">ORD-00108</t>
  </si>
  <si>
    <t xml:space="preserve">ORD-00109</t>
  </si>
  <si>
    <t xml:space="preserve">CUST-0219</t>
  </si>
  <si>
    <t xml:space="preserve">Tanvi Agarwal</t>
  </si>
  <si>
    <t xml:space="preserve">ORD-00110</t>
  </si>
  <si>
    <t xml:space="preserve">CUST-0181</t>
  </si>
  <si>
    <t xml:space="preserve">Pallavi Gupta</t>
  </si>
  <si>
    <t xml:space="preserve">ORD-00111</t>
  </si>
  <si>
    <t xml:space="preserve">CUST-0126</t>
  </si>
  <si>
    <t xml:space="preserve">Pallavi Singh</t>
  </si>
  <si>
    <t xml:space="preserve">ORD-00112</t>
  </si>
  <si>
    <t xml:space="preserve">ORD-00113</t>
  </si>
  <si>
    <t xml:space="preserve">ORD-00114</t>
  </si>
  <si>
    <t xml:space="preserve">CUST-0090</t>
  </si>
  <si>
    <t xml:space="preserve">Simran Chauhan</t>
  </si>
  <si>
    <t xml:space="preserve">ORD-00115</t>
  </si>
  <si>
    <t xml:space="preserve">CUST-0220</t>
  </si>
  <si>
    <t xml:space="preserve">Anjali Rao</t>
  </si>
  <si>
    <t xml:space="preserve">ORD-00116</t>
  </si>
  <si>
    <t xml:space="preserve">ORD-00117</t>
  </si>
  <si>
    <t xml:space="preserve">CUST-0051</t>
  </si>
  <si>
    <t xml:space="preserve">Deepak Iyer</t>
  </si>
  <si>
    <t xml:space="preserve">ORD-00118</t>
  </si>
  <si>
    <t xml:space="preserve">CUST-0031</t>
  </si>
  <si>
    <t xml:space="preserve">Aditya Reddy</t>
  </si>
  <si>
    <t xml:space="preserve">ORD-00119</t>
  </si>
  <si>
    <t xml:space="preserve">CUST-0055</t>
  </si>
  <si>
    <t xml:space="preserve">Yash Reddy</t>
  </si>
  <si>
    <t xml:space="preserve">ORD-00120</t>
  </si>
  <si>
    <t xml:space="preserve">CUST-0140</t>
  </si>
  <si>
    <t xml:space="preserve">Rahul Malhotra</t>
  </si>
  <si>
    <t xml:space="preserve">ORD-00121</t>
  </si>
  <si>
    <t xml:space="preserve">CUST-0060</t>
  </si>
  <si>
    <t xml:space="preserve">Manish Verma</t>
  </si>
  <si>
    <t xml:space="preserve">ORD-00122</t>
  </si>
  <si>
    <t xml:space="preserve">ORD-00123</t>
  </si>
  <si>
    <t xml:space="preserve">CUST-0124</t>
  </si>
  <si>
    <t xml:space="preserve">Aman Nair</t>
  </si>
  <si>
    <t xml:space="preserve">ORD-00124</t>
  </si>
  <si>
    <t xml:space="preserve">CUST-0118</t>
  </si>
  <si>
    <t xml:space="preserve">Shreya Reddy</t>
  </si>
  <si>
    <t xml:space="preserve">ORD-00125</t>
  </si>
  <si>
    <t xml:space="preserve">CUST-0081</t>
  </si>
  <si>
    <t xml:space="preserve">Rahul Mehta</t>
  </si>
  <si>
    <t xml:space="preserve">ORD-00126</t>
  </si>
  <si>
    <t xml:space="preserve">CUST-0020</t>
  </si>
  <si>
    <t xml:space="preserve">Shreya Chauhan</t>
  </si>
  <si>
    <t xml:space="preserve">ORD-00127</t>
  </si>
  <si>
    <t xml:space="preserve">CUST-0180</t>
  </si>
  <si>
    <t xml:space="preserve">Divya Nair</t>
  </si>
  <si>
    <t xml:space="preserve">ORD-00128</t>
  </si>
  <si>
    <t xml:space="preserve">CUST-0178</t>
  </si>
  <si>
    <t xml:space="preserve">Meera Agarwal</t>
  </si>
  <si>
    <t xml:space="preserve">ORD-00129</t>
  </si>
  <si>
    <t xml:space="preserve">ORD-00130</t>
  </si>
  <si>
    <t xml:space="preserve">CUST-0044</t>
  </si>
  <si>
    <t xml:space="preserve">Sneha Sharma</t>
  </si>
  <si>
    <t xml:space="preserve">ORD-00131</t>
  </si>
  <si>
    <t xml:space="preserve">ORD-00132</t>
  </si>
  <si>
    <t xml:space="preserve">ORD-00133</t>
  </si>
  <si>
    <t xml:space="preserve">ORD-00134</t>
  </si>
  <si>
    <t xml:space="preserve">CUST-0203</t>
  </si>
  <si>
    <t xml:space="preserve">Pallavi Bansal</t>
  </si>
  <si>
    <t xml:space="preserve">ORD-00135</t>
  </si>
  <si>
    <t xml:space="preserve">ORD-00136</t>
  </si>
  <si>
    <t xml:space="preserve">ORD-00137</t>
  </si>
  <si>
    <t xml:space="preserve">CUST-0182</t>
  </si>
  <si>
    <t xml:space="preserve">Manish Gupta</t>
  </si>
  <si>
    <t xml:space="preserve">ORD-00138</t>
  </si>
  <si>
    <t xml:space="preserve">ORD-00139</t>
  </si>
  <si>
    <t xml:space="preserve">CUST-0076</t>
  </si>
  <si>
    <t xml:space="preserve">Riya Agarwal</t>
  </si>
  <si>
    <t xml:space="preserve">ORD-00140</t>
  </si>
  <si>
    <t xml:space="preserve">ORD-00141</t>
  </si>
  <si>
    <t xml:space="preserve">CUST-0179</t>
  </si>
  <si>
    <t xml:space="preserve">Isha Chauhan</t>
  </si>
  <si>
    <t xml:space="preserve">ORD-00142</t>
  </si>
  <si>
    <t xml:space="preserve">ORD-00143</t>
  </si>
  <si>
    <t xml:space="preserve">CUST-0042</t>
  </si>
  <si>
    <t xml:space="preserve">Tanvi Rao</t>
  </si>
  <si>
    <t xml:space="preserve">ORD-00144</t>
  </si>
  <si>
    <t xml:space="preserve">ORD-00145</t>
  </si>
  <si>
    <t xml:space="preserve">CUST-0030</t>
  </si>
  <si>
    <t xml:space="preserve">Karan Malhotra</t>
  </si>
  <si>
    <t xml:space="preserve">ORD-00146</t>
  </si>
  <si>
    <t xml:space="preserve">ORD-00147</t>
  </si>
  <si>
    <t xml:space="preserve">CUST-0057</t>
  </si>
  <si>
    <t xml:space="preserve">Karan Agarwal</t>
  </si>
  <si>
    <t xml:space="preserve">ORD-00148</t>
  </si>
  <si>
    <t xml:space="preserve">ORD-00149</t>
  </si>
  <si>
    <t xml:space="preserve">ORD-00150</t>
  </si>
  <si>
    <t xml:space="preserve">CUST-0121</t>
  </si>
  <si>
    <t xml:space="preserve">Sanjay Mehta</t>
  </si>
  <si>
    <t xml:space="preserve">ORD-00151</t>
  </si>
  <si>
    <t xml:space="preserve">ORD-00152</t>
  </si>
  <si>
    <t xml:space="preserve">ORD-00153</t>
  </si>
  <si>
    <t xml:space="preserve">CUST-0123</t>
  </si>
  <si>
    <t xml:space="preserve">Tanvi Joshi</t>
  </si>
  <si>
    <t xml:space="preserve">ORD-00154</t>
  </si>
  <si>
    <t xml:space="preserve">CUST-0213</t>
  </si>
  <si>
    <t xml:space="preserve">Meera Reddy</t>
  </si>
  <si>
    <t xml:space="preserve">ORD-00155</t>
  </si>
  <si>
    <t xml:space="preserve">CUST-0113</t>
  </si>
  <si>
    <t xml:space="preserve">Rajesh Nair</t>
  </si>
  <si>
    <t xml:space="preserve">ORD-00156</t>
  </si>
  <si>
    <t xml:space="preserve">ORD-00157</t>
  </si>
  <si>
    <t xml:space="preserve">ORD-00158</t>
  </si>
  <si>
    <t xml:space="preserve">ORD-00159</t>
  </si>
  <si>
    <t xml:space="preserve">CUST-0002</t>
  </si>
  <si>
    <t xml:space="preserve">Sneha Gupta</t>
  </si>
  <si>
    <t xml:space="preserve">ORD-00160</t>
  </si>
  <si>
    <t xml:space="preserve">ORD-00161</t>
  </si>
  <si>
    <t xml:space="preserve">ORD-00162</t>
  </si>
  <si>
    <t xml:space="preserve">ORD-00163</t>
  </si>
  <si>
    <t xml:space="preserve">ORD-00164</t>
  </si>
  <si>
    <t xml:space="preserve">CUST-0053</t>
  </si>
  <si>
    <t xml:space="preserve">Sanjay Sharma</t>
  </si>
  <si>
    <t xml:space="preserve">ORD-00165</t>
  </si>
  <si>
    <t xml:space="preserve">ORD-00166</t>
  </si>
  <si>
    <t xml:space="preserve">ORD-00167</t>
  </si>
  <si>
    <t xml:space="preserve">ORD-00168</t>
  </si>
  <si>
    <t xml:space="preserve">ORD-00169</t>
  </si>
  <si>
    <t xml:space="preserve">CUST-0208</t>
  </si>
  <si>
    <t xml:space="preserve">Harsh Bansal</t>
  </si>
  <si>
    <t xml:space="preserve">ORD-00170</t>
  </si>
  <si>
    <t xml:space="preserve">ORD-00171</t>
  </si>
  <si>
    <t xml:space="preserve">CUST-0094</t>
  </si>
  <si>
    <t xml:space="preserve">Karan Reddy</t>
  </si>
  <si>
    <t xml:space="preserve">ORD-00172</t>
  </si>
  <si>
    <t xml:space="preserve">ORD-00173</t>
  </si>
  <si>
    <t xml:space="preserve">ORD-00174</t>
  </si>
  <si>
    <t xml:space="preserve">ORD-00175</t>
  </si>
  <si>
    <t xml:space="preserve">ORD-00176</t>
  </si>
  <si>
    <t xml:space="preserve">ORD-00177</t>
  </si>
  <si>
    <t xml:space="preserve">ORD-00178</t>
  </si>
  <si>
    <t xml:space="preserve">CUST-0193</t>
  </si>
  <si>
    <t xml:space="preserve">Simran Agarwal</t>
  </si>
  <si>
    <t xml:space="preserve">ORD-00179</t>
  </si>
  <si>
    <t xml:space="preserve">ORD-00180</t>
  </si>
  <si>
    <t xml:space="preserve">ORD-00181</t>
  </si>
  <si>
    <t xml:space="preserve">ORD-00182</t>
  </si>
  <si>
    <t xml:space="preserve">ORD-00183</t>
  </si>
  <si>
    <t xml:space="preserve">CUST-0158</t>
  </si>
  <si>
    <t xml:space="preserve">Deepak Chauhan</t>
  </si>
  <si>
    <t xml:space="preserve">ORD-00184</t>
  </si>
  <si>
    <t xml:space="preserve">ORD-00185</t>
  </si>
  <si>
    <t xml:space="preserve">ORD-00186</t>
  </si>
  <si>
    <t xml:space="preserve">CUST-0190</t>
  </si>
  <si>
    <t xml:space="preserve">Karan Mehta</t>
  </si>
  <si>
    <t xml:space="preserve">ORD-00187</t>
  </si>
  <si>
    <t xml:space="preserve">ORD-00188</t>
  </si>
  <si>
    <t xml:space="preserve">ORD-00189</t>
  </si>
  <si>
    <t xml:space="preserve">ORD-00190</t>
  </si>
  <si>
    <t xml:space="preserve">ORD-00191</t>
  </si>
  <si>
    <t xml:space="preserve">CUST-0155</t>
  </si>
  <si>
    <t xml:space="preserve">Harsh Sharma</t>
  </si>
  <si>
    <t xml:space="preserve">ORD-00192</t>
  </si>
  <si>
    <t xml:space="preserve">CUST-0117</t>
  </si>
  <si>
    <t xml:space="preserve">Rahul Sharma</t>
  </si>
  <si>
    <t xml:space="preserve">ORD-00193</t>
  </si>
  <si>
    <t xml:space="preserve">ORD-00194</t>
  </si>
  <si>
    <t xml:space="preserve">ORD-00195</t>
  </si>
  <si>
    <t xml:space="preserve">ORD-00196</t>
  </si>
  <si>
    <t xml:space="preserve">CUST-0064</t>
  </si>
  <si>
    <t xml:space="preserve">Deepak Singh</t>
  </si>
  <si>
    <t xml:space="preserve">ORD-00197</t>
  </si>
  <si>
    <t xml:space="preserve">ORD-00198</t>
  </si>
  <si>
    <t xml:space="preserve">ORD-00199</t>
  </si>
  <si>
    <t xml:space="preserve">ORD-00200</t>
  </si>
  <si>
    <t xml:space="preserve">CUST-0009</t>
  </si>
  <si>
    <t xml:space="preserve">Sanjay Nair</t>
  </si>
  <si>
    <t xml:space="preserve">ORD-00201</t>
  </si>
  <si>
    <t xml:space="preserve">CUST-0185</t>
  </si>
  <si>
    <t xml:space="preserve">Shreya Singh</t>
  </si>
  <si>
    <t xml:space="preserve">ORD-00202</t>
  </si>
  <si>
    <t xml:space="preserve">CUST-0230</t>
  </si>
  <si>
    <t xml:space="preserve">Sanjay Bansal</t>
  </si>
  <si>
    <t xml:space="preserve">ORD-00203</t>
  </si>
  <si>
    <t xml:space="preserve">CUST-0061</t>
  </si>
  <si>
    <t xml:space="preserve">Isha Mehta</t>
  </si>
  <si>
    <t xml:space="preserve">ORD-00204</t>
  </si>
  <si>
    <t xml:space="preserve">ORD-00205</t>
  </si>
  <si>
    <t xml:space="preserve">CUST-0196</t>
  </si>
  <si>
    <t xml:space="preserve">Pooja Gupta</t>
  </si>
  <si>
    <t xml:space="preserve">ORD-00206</t>
  </si>
  <si>
    <t xml:space="preserve">CUST-0082</t>
  </si>
  <si>
    <t xml:space="preserve">Deepak Rao</t>
  </si>
  <si>
    <t xml:space="preserve">ORD-00207</t>
  </si>
  <si>
    <t xml:space="preserve">ORD-00208</t>
  </si>
  <si>
    <t xml:space="preserve">ORD-00209</t>
  </si>
  <si>
    <t xml:space="preserve">ORD-00210</t>
  </si>
  <si>
    <t xml:space="preserve">ORD-00211</t>
  </si>
  <si>
    <t xml:space="preserve">CUST-0132</t>
  </si>
  <si>
    <t xml:space="preserve">Yash Chauhan</t>
  </si>
  <si>
    <t xml:space="preserve">ORD-00212</t>
  </si>
  <si>
    <t xml:space="preserve">ORD-00213</t>
  </si>
  <si>
    <t xml:space="preserve">ORD-00214</t>
  </si>
  <si>
    <t xml:space="preserve">CUST-0059</t>
  </si>
  <si>
    <t xml:space="preserve">Sneha Malhotra</t>
  </si>
  <si>
    <t xml:space="preserve">ORD-00215</t>
  </si>
  <si>
    <t xml:space="preserve">ORD-00216</t>
  </si>
  <si>
    <t xml:space="preserve">CUST-0074</t>
  </si>
  <si>
    <t xml:space="preserve">Pallavi Rao</t>
  </si>
  <si>
    <t xml:space="preserve">ORD-00217</t>
  </si>
  <si>
    <t xml:space="preserve">CUST-0200</t>
  </si>
  <si>
    <t xml:space="preserve">Komal Malhotra</t>
  </si>
  <si>
    <t xml:space="preserve">ORD-00218</t>
  </si>
  <si>
    <t xml:space="preserve">ORD-00219</t>
  </si>
  <si>
    <t xml:space="preserve">ORD-00220</t>
  </si>
  <si>
    <t xml:space="preserve">ORD-00221</t>
  </si>
  <si>
    <t xml:space="preserve">CUST-0047</t>
  </si>
  <si>
    <t xml:space="preserve">Komal Kumar</t>
  </si>
  <si>
    <t xml:space="preserve">ORD-00222</t>
  </si>
  <si>
    <t xml:space="preserve">CUST-0062</t>
  </si>
  <si>
    <t xml:space="preserve">Pallavi Sharma</t>
  </si>
  <si>
    <t xml:space="preserve">ORD-00223</t>
  </si>
  <si>
    <t xml:space="preserve">ORD-00224</t>
  </si>
  <si>
    <t xml:space="preserve">CUST-0125</t>
  </si>
  <si>
    <t xml:space="preserve">Deepak Kumar</t>
  </si>
  <si>
    <t xml:space="preserve">ORD-00225</t>
  </si>
  <si>
    <t xml:space="preserve">CUST-0040</t>
  </si>
  <si>
    <t xml:space="preserve">Harsh Agarwal</t>
  </si>
  <si>
    <t xml:space="preserve">ORD-00226</t>
  </si>
  <si>
    <t xml:space="preserve">ORD-00227</t>
  </si>
  <si>
    <t xml:space="preserve">CUST-0101</t>
  </si>
  <si>
    <t xml:space="preserve">Komal Gupta</t>
  </si>
  <si>
    <t xml:space="preserve">ORD-00228</t>
  </si>
  <si>
    <t xml:space="preserve">CUST-0159</t>
  </si>
  <si>
    <t xml:space="preserve">Pooja Joshi</t>
  </si>
  <si>
    <t xml:space="preserve">ORD-00229</t>
  </si>
  <si>
    <t xml:space="preserve">CUST-0106</t>
  </si>
  <si>
    <t xml:space="preserve">Pooja Malhotra</t>
  </si>
  <si>
    <t xml:space="preserve">ORD-00230</t>
  </si>
  <si>
    <t xml:space="preserve">CUST-0088</t>
  </si>
  <si>
    <t xml:space="preserve">Komal Bansal</t>
  </si>
  <si>
    <t xml:space="preserve">ORD-00231</t>
  </si>
  <si>
    <t xml:space="preserve">CUST-0167</t>
  </si>
  <si>
    <t xml:space="preserve">Pallavi Agarwal</t>
  </si>
  <si>
    <t xml:space="preserve">ORD-00232</t>
  </si>
  <si>
    <t xml:space="preserve">ORD-00233</t>
  </si>
  <si>
    <t xml:space="preserve">ORD-00234</t>
  </si>
  <si>
    <t xml:space="preserve">CUST-0100</t>
  </si>
  <si>
    <t xml:space="preserve">Riya Nair</t>
  </si>
  <si>
    <t xml:space="preserve">ORD-00235</t>
  </si>
  <si>
    <t xml:space="preserve">CUST-0006</t>
  </si>
  <si>
    <t xml:space="preserve">Shreya Gupta</t>
  </si>
  <si>
    <t xml:space="preserve">ORD-00236</t>
  </si>
  <si>
    <t xml:space="preserve">ORD-00237</t>
  </si>
  <si>
    <t xml:space="preserve">ORD-00238</t>
  </si>
  <si>
    <t xml:space="preserve">CUST-0212</t>
  </si>
  <si>
    <t xml:space="preserve">Nikhil Bansal</t>
  </si>
  <si>
    <t xml:space="preserve">ORD-00239</t>
  </si>
  <si>
    <t xml:space="preserve">ORD-00240</t>
  </si>
  <si>
    <t xml:space="preserve">ORD-00241</t>
  </si>
  <si>
    <t xml:space="preserve">CUST-0133</t>
  </si>
  <si>
    <t xml:space="preserve">Vivek Gupta</t>
  </si>
  <si>
    <t xml:space="preserve">ORD-00242</t>
  </si>
  <si>
    <t xml:space="preserve">ORD-00243</t>
  </si>
  <si>
    <t xml:space="preserve">CUST-0058</t>
  </si>
  <si>
    <t xml:space="preserve">Manish Agarwal</t>
  </si>
  <si>
    <t xml:space="preserve">ORD-00244</t>
  </si>
  <si>
    <t xml:space="preserve">CUST-0023</t>
  </si>
  <si>
    <t xml:space="preserve">Riya Malhotra</t>
  </si>
  <si>
    <t xml:space="preserve">ORD-00245</t>
  </si>
  <si>
    <t xml:space="preserve">ORD-00246</t>
  </si>
  <si>
    <t xml:space="preserve">ORD-00247</t>
  </si>
  <si>
    <t xml:space="preserve">ORD-00248</t>
  </si>
  <si>
    <t xml:space="preserve">ORD-00249</t>
  </si>
  <si>
    <t xml:space="preserve">ORD-00250</t>
  </si>
  <si>
    <t xml:space="preserve">ORD-00251</t>
  </si>
  <si>
    <t xml:space="preserve">ORD-00252</t>
  </si>
  <si>
    <t xml:space="preserve">CUST-0048</t>
  </si>
  <si>
    <t xml:space="preserve">Rahul Agarwal</t>
  </si>
  <si>
    <t xml:space="preserve">ORD-00253</t>
  </si>
  <si>
    <t xml:space="preserve">ORD-00254</t>
  </si>
  <si>
    <t xml:space="preserve">ORD-00255</t>
  </si>
  <si>
    <t xml:space="preserve">CUST-0144</t>
  </si>
  <si>
    <t xml:space="preserve">Yash Singh</t>
  </si>
  <si>
    <t xml:space="preserve">ORD-00256</t>
  </si>
  <si>
    <t xml:space="preserve">ORD-00257</t>
  </si>
  <si>
    <t xml:space="preserve">CUST-0217</t>
  </si>
  <si>
    <t xml:space="preserve">Simran Reddy</t>
  </si>
  <si>
    <t xml:space="preserve">ORD-00258</t>
  </si>
  <si>
    <t xml:space="preserve">CUST-0149</t>
  </si>
  <si>
    <t xml:space="preserve">Vivek Rao</t>
  </si>
  <si>
    <t xml:space="preserve">ORD-00259</t>
  </si>
  <si>
    <t xml:space="preserve">CUST-0119</t>
  </si>
  <si>
    <t xml:space="preserve">Anjali Verma</t>
  </si>
  <si>
    <t xml:space="preserve">ORD-00260</t>
  </si>
  <si>
    <t xml:space="preserve">ORD-00261</t>
  </si>
  <si>
    <t xml:space="preserve">CUST-0087</t>
  </si>
  <si>
    <t xml:space="preserve">Tanvi Malhotra</t>
  </si>
  <si>
    <t xml:space="preserve">ORD-00262</t>
  </si>
  <si>
    <t xml:space="preserve">ORD-00263</t>
  </si>
  <si>
    <t xml:space="preserve">CUST-0136</t>
  </si>
  <si>
    <t xml:space="preserve">Simran Kumar</t>
  </si>
  <si>
    <t xml:space="preserve">ORD-00264</t>
  </si>
  <si>
    <t xml:space="preserve">CUST-0092</t>
  </si>
  <si>
    <t xml:space="preserve">Yash Rao</t>
  </si>
  <si>
    <t xml:space="preserve">ORD-00265</t>
  </si>
  <si>
    <t xml:space="preserve">ORD-00266</t>
  </si>
  <si>
    <t xml:space="preserve">ORD-00267</t>
  </si>
  <si>
    <t xml:space="preserve">ORD-00268</t>
  </si>
  <si>
    <t xml:space="preserve">ORD-00269</t>
  </si>
  <si>
    <t xml:space="preserve">ORD-00270</t>
  </si>
  <si>
    <t xml:space="preserve">ORD-00271</t>
  </si>
  <si>
    <t xml:space="preserve">CUST-0099</t>
  </si>
  <si>
    <t xml:space="preserve">Isha Joshi</t>
  </si>
  <si>
    <t xml:space="preserve">ORD-00272</t>
  </si>
  <si>
    <t xml:space="preserve">ORD-00273</t>
  </si>
  <si>
    <t xml:space="preserve">ORD-00274</t>
  </si>
  <si>
    <t xml:space="preserve">ORD-00275</t>
  </si>
  <si>
    <t xml:space="preserve">ORD-00276</t>
  </si>
  <si>
    <t xml:space="preserve">ORD-00277</t>
  </si>
  <si>
    <t xml:space="preserve">ORD-00278</t>
  </si>
  <si>
    <t xml:space="preserve">ORD-00279</t>
  </si>
  <si>
    <t xml:space="preserve">ORD-00280</t>
  </si>
  <si>
    <t xml:space="preserve">CUST-0098</t>
  </si>
  <si>
    <t xml:space="preserve">Yash Iyer</t>
  </si>
  <si>
    <t xml:space="preserve">ORD-00281</t>
  </si>
  <si>
    <t xml:space="preserve">CUST-0173</t>
  </si>
  <si>
    <t xml:space="preserve">Nikhil Gupta</t>
  </si>
  <si>
    <t xml:space="preserve">ORD-00282</t>
  </si>
  <si>
    <t xml:space="preserve">ORD-00283</t>
  </si>
  <si>
    <t xml:space="preserve">ORD-00284</t>
  </si>
  <si>
    <t xml:space="preserve">ORD-00285</t>
  </si>
  <si>
    <t xml:space="preserve">ORD-00286</t>
  </si>
  <si>
    <t xml:space="preserve">ORD-00287</t>
  </si>
  <si>
    <t xml:space="preserve">CUST-0228</t>
  </si>
  <si>
    <t xml:space="preserve">Deepak Sharma</t>
  </si>
  <si>
    <t xml:space="preserve">ORD-00288</t>
  </si>
  <si>
    <t xml:space="preserve">CUST-0183</t>
  </si>
  <si>
    <t xml:space="preserve">Nikhil Joshi</t>
  </si>
  <si>
    <t xml:space="preserve">ORD-00289</t>
  </si>
  <si>
    <t xml:space="preserve">ORD-00290</t>
  </si>
  <si>
    <t xml:space="preserve">CUST-0021</t>
  </si>
  <si>
    <t xml:space="preserve">Deepak Mehta</t>
  </si>
  <si>
    <t xml:space="preserve">ORD-00291</t>
  </si>
  <si>
    <t xml:space="preserve">CUST-0108</t>
  </si>
  <si>
    <t xml:space="preserve">Manish Bansal</t>
  </si>
  <si>
    <t xml:space="preserve">ORD-00292</t>
  </si>
  <si>
    <t xml:space="preserve">ORD-00293</t>
  </si>
  <si>
    <t xml:space="preserve">CUST-0019</t>
  </si>
  <si>
    <t xml:space="preserve">Komal Nair</t>
  </si>
  <si>
    <t xml:space="preserve">ORD-00294</t>
  </si>
  <si>
    <t xml:space="preserve">CUST-0032</t>
  </si>
  <si>
    <t xml:space="preserve">Tanvi Verma</t>
  </si>
  <si>
    <t xml:space="preserve">ORD-00295</t>
  </si>
  <si>
    <t xml:space="preserve">ORD-00296</t>
  </si>
  <si>
    <t xml:space="preserve">CUST-0034</t>
  </si>
  <si>
    <t xml:space="preserve">Shreya Bansal</t>
  </si>
  <si>
    <t xml:space="preserve">ORD-00297</t>
  </si>
  <si>
    <t xml:space="preserve">CUST-0191</t>
  </si>
  <si>
    <t xml:space="preserve">Rajesh Reddy</t>
  </si>
  <si>
    <t xml:space="preserve">ORD-00298</t>
  </si>
  <si>
    <t xml:space="preserve">CUST-0075</t>
  </si>
  <si>
    <t xml:space="preserve">Rajesh Kumar</t>
  </si>
  <si>
    <t xml:space="preserve">ORD-00299</t>
  </si>
  <si>
    <t xml:space="preserve">CUST-0037</t>
  </si>
  <si>
    <t xml:space="preserve">Anjali Singh</t>
  </si>
  <si>
    <t xml:space="preserve">ORD-00300</t>
  </si>
  <si>
    <t xml:space="preserve">ORD-00301</t>
  </si>
  <si>
    <t xml:space="preserve">CUST-0129</t>
  </si>
  <si>
    <t xml:space="preserve">Manish Singh</t>
  </si>
  <si>
    <t xml:space="preserve">ORD-00302</t>
  </si>
  <si>
    <t xml:space="preserve">ORD-00303</t>
  </si>
  <si>
    <t xml:space="preserve">CUST-0067</t>
  </si>
  <si>
    <t xml:space="preserve">Riya Reddy</t>
  </si>
  <si>
    <t xml:space="preserve">ORD-00304</t>
  </si>
  <si>
    <t xml:space="preserve">CUST-0147</t>
  </si>
  <si>
    <t xml:space="preserve">Meera Sharma</t>
  </si>
  <si>
    <t xml:space="preserve">ORD-00305</t>
  </si>
  <si>
    <t xml:space="preserve">ORD-00306</t>
  </si>
  <si>
    <t xml:space="preserve">ORD-00307</t>
  </si>
  <si>
    <t xml:space="preserve">ORD-00308</t>
  </si>
  <si>
    <t xml:space="preserve">ORD-00309</t>
  </si>
  <si>
    <t xml:space="preserve">ORD-00310</t>
  </si>
  <si>
    <t xml:space="preserve">ORD-00311</t>
  </si>
  <si>
    <t xml:space="preserve">ORD-00312</t>
  </si>
  <si>
    <t xml:space="preserve">ORD-00313</t>
  </si>
  <si>
    <t xml:space="preserve">ORD-00314</t>
  </si>
  <si>
    <t xml:space="preserve">CUST-0172</t>
  </si>
  <si>
    <t xml:space="preserve">Tanvi Chauhan</t>
  </si>
  <si>
    <t xml:space="preserve">ORD-00315</t>
  </si>
  <si>
    <t xml:space="preserve">ORD-00316</t>
  </si>
  <si>
    <t xml:space="preserve">ORD-00317</t>
  </si>
  <si>
    <t xml:space="preserve">ORD-00318</t>
  </si>
  <si>
    <t xml:space="preserve">ORD-00319</t>
  </si>
  <si>
    <t xml:space="preserve">ORD-00320</t>
  </si>
  <si>
    <t xml:space="preserve">ORD-00321</t>
  </si>
  <si>
    <t xml:space="preserve">CUST-0151</t>
  </si>
  <si>
    <t xml:space="preserve">Vivek Joshi</t>
  </si>
  <si>
    <t xml:space="preserve">ORD-00322</t>
  </si>
  <si>
    <t xml:space="preserve">ORD-00323</t>
  </si>
  <si>
    <t xml:space="preserve">ORD-00324</t>
  </si>
  <si>
    <t xml:space="preserve">ORD-00325</t>
  </si>
  <si>
    <t xml:space="preserve">CUST-0083</t>
  </si>
  <si>
    <t xml:space="preserve">Deepak Joshi</t>
  </si>
  <si>
    <t xml:space="preserve">ORD-00326</t>
  </si>
  <si>
    <t xml:space="preserve">ORD-00327</t>
  </si>
  <si>
    <t xml:space="preserve">ORD-00328</t>
  </si>
  <si>
    <t xml:space="preserve">ORD-00329</t>
  </si>
  <si>
    <t xml:space="preserve">ORD-00330</t>
  </si>
  <si>
    <t xml:space="preserve">CUST-0111</t>
  </si>
  <si>
    <t xml:space="preserve">Rahul Rao</t>
  </si>
  <si>
    <t xml:space="preserve">ORD-00331</t>
  </si>
  <si>
    <t xml:space="preserve">CUST-0206</t>
  </si>
  <si>
    <t xml:space="preserve">Sanjay Joshi</t>
  </si>
  <si>
    <t xml:space="preserve">ORD-00332</t>
  </si>
  <si>
    <t xml:space="preserve">ORD-00333</t>
  </si>
  <si>
    <t xml:space="preserve">ORD-00334</t>
  </si>
  <si>
    <t xml:space="preserve">ORD-00335</t>
  </si>
  <si>
    <t xml:space="preserve">CUST-0079</t>
  </si>
  <si>
    <t xml:space="preserve">Anjali Reddy</t>
  </si>
  <si>
    <t xml:space="preserve">ORD-00336</t>
  </si>
  <si>
    <t xml:space="preserve">CUST-0077</t>
  </si>
  <si>
    <t xml:space="preserve">Karan Joshi</t>
  </si>
  <si>
    <t xml:space="preserve">ORD-00337</t>
  </si>
  <si>
    <t xml:space="preserve">ORD-00338</t>
  </si>
  <si>
    <t xml:space="preserve">ORD-00339</t>
  </si>
  <si>
    <t xml:space="preserve">ORD-00340</t>
  </si>
  <si>
    <t xml:space="preserve">ORD-00341</t>
  </si>
  <si>
    <t xml:space="preserve">CUST-0012</t>
  </si>
  <si>
    <t xml:space="preserve">Riya Chauhan</t>
  </si>
  <si>
    <t xml:space="preserve">ORD-00342</t>
  </si>
  <si>
    <t xml:space="preserve">ORD-00343</t>
  </si>
  <si>
    <t xml:space="preserve">CUST-0056</t>
  </si>
  <si>
    <t xml:space="preserve">Karan Iyer</t>
  </si>
  <si>
    <t xml:space="preserve">ORD-00344</t>
  </si>
  <si>
    <t xml:space="preserve">CUST-0095</t>
  </si>
  <si>
    <t xml:space="preserve">Riya Sharma</t>
  </si>
  <si>
    <t xml:space="preserve">ORD-00345</t>
  </si>
  <si>
    <t xml:space="preserve">ORD-00346</t>
  </si>
  <si>
    <t xml:space="preserve">ORD-00347</t>
  </si>
  <si>
    <t xml:space="preserve">ORD-00348</t>
  </si>
  <si>
    <t xml:space="preserve">ORD-00349</t>
  </si>
  <si>
    <t xml:space="preserve">ORD-00350</t>
  </si>
  <si>
    <t xml:space="preserve">ORD-00351</t>
  </si>
  <si>
    <t xml:space="preserve">CUST-0066</t>
  </si>
  <si>
    <t xml:space="preserve">Deepak Malhotra</t>
  </si>
  <si>
    <t xml:space="preserve">ORD-00352</t>
  </si>
  <si>
    <t xml:space="preserve">ORD-00353</t>
  </si>
  <si>
    <t xml:space="preserve">ORD-00354</t>
  </si>
  <si>
    <t xml:space="preserve">ORD-00355</t>
  </si>
  <si>
    <t xml:space="preserve">ORD-00356</t>
  </si>
  <si>
    <t xml:space="preserve">ORD-00357</t>
  </si>
  <si>
    <t xml:space="preserve">ORD-00358</t>
  </si>
  <si>
    <t xml:space="preserve">ORD-00359</t>
  </si>
  <si>
    <t xml:space="preserve">ORD-00360</t>
  </si>
  <si>
    <t xml:space="preserve">ORD-00361</t>
  </si>
  <si>
    <t xml:space="preserve">ORD-00362</t>
  </si>
  <si>
    <t xml:space="preserve">ORD-00363</t>
  </si>
  <si>
    <t xml:space="preserve">ORD-00364</t>
  </si>
  <si>
    <t xml:space="preserve">CUST-0171</t>
  </si>
  <si>
    <t xml:space="preserve">Isha Malhotra</t>
  </si>
  <si>
    <t xml:space="preserve">ORD-00365</t>
  </si>
  <si>
    <t xml:space="preserve">ORD-00366</t>
  </si>
  <si>
    <t xml:space="preserve">ORD-00367</t>
  </si>
  <si>
    <t xml:space="preserve">ORD-00368</t>
  </si>
  <si>
    <t xml:space="preserve">ORD-00369</t>
  </si>
  <si>
    <t xml:space="preserve">ORD-00370</t>
  </si>
  <si>
    <t xml:space="preserve">ORD-00371</t>
  </si>
  <si>
    <t xml:space="preserve">CUST-0007</t>
  </si>
  <si>
    <t xml:space="preserve">Sneha Kumar</t>
  </si>
  <si>
    <t xml:space="preserve">ORD-00372</t>
  </si>
  <si>
    <t xml:space="preserve">ORD-00373</t>
  </si>
  <si>
    <t xml:space="preserve">ORD-00374</t>
  </si>
  <si>
    <t xml:space="preserve">ORD-00375</t>
  </si>
  <si>
    <t xml:space="preserve">ORD-00376</t>
  </si>
  <si>
    <t xml:space="preserve">ORD-00377</t>
  </si>
  <si>
    <t xml:space="preserve">CUST-0080</t>
  </si>
  <si>
    <t xml:space="preserve">Rahul Gupta</t>
  </si>
  <si>
    <t xml:space="preserve">ORD-00378</t>
  </si>
  <si>
    <t xml:space="preserve">ORD-00379</t>
  </si>
  <si>
    <t xml:space="preserve">CUST-0089</t>
  </si>
  <si>
    <t xml:space="preserve">Komal Verma</t>
  </si>
  <si>
    <t xml:space="preserve">ORD-00380</t>
  </si>
  <si>
    <t xml:space="preserve">ORD-00381</t>
  </si>
  <si>
    <t xml:space="preserve">ORD-00382</t>
  </si>
  <si>
    <t xml:space="preserve">CUST-0224</t>
  </si>
  <si>
    <t xml:space="preserve">Manish Chauhan</t>
  </si>
  <si>
    <t xml:space="preserve">ORD-00383</t>
  </si>
  <si>
    <t xml:space="preserve">CUST-0142</t>
  </si>
  <si>
    <t xml:space="preserve">Sanjay Iyer</t>
  </si>
  <si>
    <t xml:space="preserve">ORD-00384</t>
  </si>
  <si>
    <t xml:space="preserve">ORD-00385</t>
  </si>
  <si>
    <t xml:space="preserve">ORD-00386</t>
  </si>
  <si>
    <t xml:space="preserve">ORD-00387</t>
  </si>
  <si>
    <t xml:space="preserve">ORD-00388</t>
  </si>
  <si>
    <t xml:space="preserve">ORD-00389</t>
  </si>
  <si>
    <t xml:space="preserve">ORD-00390</t>
  </si>
  <si>
    <t xml:space="preserve">ORD-00391</t>
  </si>
  <si>
    <t xml:space="preserve">ORD-00392</t>
  </si>
  <si>
    <t xml:space="preserve">ORD-00393</t>
  </si>
  <si>
    <t xml:space="preserve">ORD-00394</t>
  </si>
  <si>
    <t xml:space="preserve">ORD-00395</t>
  </si>
  <si>
    <t xml:space="preserve">ORD-00396</t>
  </si>
  <si>
    <t xml:space="preserve">ORD-00397</t>
  </si>
  <si>
    <t xml:space="preserve">ORD-00398</t>
  </si>
  <si>
    <t xml:space="preserve">ORD-00399</t>
  </si>
  <si>
    <t xml:space="preserve">CUST-0160</t>
  </si>
  <si>
    <t xml:space="preserve">Pooja Nair</t>
  </si>
  <si>
    <t xml:space="preserve">ORD-00400</t>
  </si>
  <si>
    <t xml:space="preserve">ORD-00401</t>
  </si>
  <si>
    <t xml:space="preserve">ORD-00402</t>
  </si>
  <si>
    <t xml:space="preserve">ORD-00403</t>
  </si>
  <si>
    <t xml:space="preserve">ORD-00404</t>
  </si>
  <si>
    <t xml:space="preserve">ORD-00405</t>
  </si>
  <si>
    <t xml:space="preserve">ORD-00406</t>
  </si>
  <si>
    <t xml:space="preserve">ORD-00407</t>
  </si>
  <si>
    <t xml:space="preserve">ORD-00408</t>
  </si>
  <si>
    <t xml:space="preserve">ORD-00409</t>
  </si>
  <si>
    <t xml:space="preserve">ORD-00410</t>
  </si>
  <si>
    <t xml:space="preserve">CUST-0202</t>
  </si>
  <si>
    <t xml:space="preserve">Aditya Verma</t>
  </si>
  <si>
    <t xml:space="preserve">ORD-00411</t>
  </si>
  <si>
    <t xml:space="preserve">ORD-00412</t>
  </si>
  <si>
    <t xml:space="preserve">ORD-00413</t>
  </si>
  <si>
    <t xml:space="preserve">ORD-00414</t>
  </si>
  <si>
    <t xml:space="preserve">ORD-00415</t>
  </si>
  <si>
    <t xml:space="preserve">ORD-00416</t>
  </si>
  <si>
    <t xml:space="preserve">ORD-00417</t>
  </si>
  <si>
    <t xml:space="preserve">ORD-00418</t>
  </si>
  <si>
    <t xml:space="preserve">ORD-00419</t>
  </si>
  <si>
    <t xml:space="preserve">ORD-00420</t>
  </si>
  <si>
    <t xml:space="preserve">ORD-00421</t>
  </si>
  <si>
    <t xml:space="preserve">ORD-00422</t>
  </si>
  <si>
    <t xml:space="preserve">ORD-00423</t>
  </si>
  <si>
    <t xml:space="preserve">ORD-00424</t>
  </si>
  <si>
    <t xml:space="preserve">CUST-0065</t>
  </si>
  <si>
    <t xml:space="preserve">Rahul Kumar</t>
  </si>
  <si>
    <t xml:space="preserve">ORD-00425</t>
  </si>
  <si>
    <t xml:space="preserve">ORD-00426</t>
  </si>
  <si>
    <t xml:space="preserve">ORD-00427</t>
  </si>
  <si>
    <t xml:space="preserve">ORD-00428</t>
  </si>
  <si>
    <t xml:space="preserve">CUST-0157</t>
  </si>
  <si>
    <t xml:space="preserve">Aditya Kumar</t>
  </si>
  <si>
    <t xml:space="preserve">ORD-00429</t>
  </si>
  <si>
    <t xml:space="preserve">ORD-00430</t>
  </si>
  <si>
    <t xml:space="preserve">ORD-00431</t>
  </si>
  <si>
    <t xml:space="preserve">ORD-00432</t>
  </si>
  <si>
    <t xml:space="preserve">ORD-00433</t>
  </si>
  <si>
    <t xml:space="preserve">ORD-00434</t>
  </si>
  <si>
    <t xml:space="preserve">ORD-00435</t>
  </si>
  <si>
    <t xml:space="preserve">ORD-00436</t>
  </si>
  <si>
    <t xml:space="preserve">CUST-0130</t>
  </si>
  <si>
    <t xml:space="preserve">Tanvi Bansal</t>
  </si>
  <si>
    <t xml:space="preserve">ORD-00437</t>
  </si>
  <si>
    <t xml:space="preserve">ORD-00438</t>
  </si>
  <si>
    <t xml:space="preserve">CUST-0103</t>
  </si>
  <si>
    <t xml:space="preserve">Sneha Bansal</t>
  </si>
  <si>
    <t xml:space="preserve">ORD-00439</t>
  </si>
  <si>
    <t xml:space="preserve">CUST-0041</t>
  </si>
  <si>
    <t xml:space="preserve">Aditya Rao</t>
  </si>
  <si>
    <t xml:space="preserve">ORD-00440</t>
  </si>
  <si>
    <t xml:space="preserve">CUST-0018</t>
  </si>
  <si>
    <t xml:space="preserve">Pooja Rao</t>
  </si>
  <si>
    <t xml:space="preserve">ORD-00441</t>
  </si>
  <si>
    <t xml:space="preserve">ORD-00442</t>
  </si>
  <si>
    <t xml:space="preserve">ORD-00443</t>
  </si>
  <si>
    <t xml:space="preserve">ORD-00444</t>
  </si>
  <si>
    <t xml:space="preserve">ORD-00445</t>
  </si>
  <si>
    <t xml:space="preserve">ORD-00446</t>
  </si>
  <si>
    <t xml:space="preserve">ORD-00447</t>
  </si>
  <si>
    <t xml:space="preserve">ORD-00448</t>
  </si>
  <si>
    <t xml:space="preserve">ORD-00449</t>
  </si>
  <si>
    <t xml:space="preserve">ORD-00450</t>
  </si>
  <si>
    <t xml:space="preserve">ORD-00451</t>
  </si>
  <si>
    <t xml:space="preserve">ORD-00452</t>
  </si>
  <si>
    <t xml:space="preserve">ORD-00453</t>
  </si>
  <si>
    <t xml:space="preserve">ORD-00454</t>
  </si>
  <si>
    <t xml:space="preserve">ORD-00455</t>
  </si>
  <si>
    <t xml:space="preserve">ORD-00456</t>
  </si>
  <si>
    <t xml:space="preserve">ORD-00457</t>
  </si>
  <si>
    <t xml:space="preserve">ORD-00458</t>
  </si>
  <si>
    <t xml:space="preserve">CUST-0054</t>
  </si>
  <si>
    <t xml:space="preserve">Rajesh Gupta</t>
  </si>
  <si>
    <t xml:space="preserve">ORD-00459</t>
  </si>
  <si>
    <t xml:space="preserve">ORD-00460</t>
  </si>
  <si>
    <t xml:space="preserve">ORD-00461</t>
  </si>
  <si>
    <t xml:space="preserve">CUST-0086</t>
  </si>
  <si>
    <t xml:space="preserve">Deepak Bansal</t>
  </si>
  <si>
    <t xml:space="preserve">ORD-00462</t>
  </si>
  <si>
    <t xml:space="preserve">ORD-00463</t>
  </si>
  <si>
    <t xml:space="preserve">ORD-00464</t>
  </si>
  <si>
    <t xml:space="preserve">ORD-00465</t>
  </si>
  <si>
    <t xml:space="preserve">ORD-00466</t>
  </si>
  <si>
    <t xml:space="preserve">ORD-00467</t>
  </si>
  <si>
    <t xml:space="preserve">CUST-0174</t>
  </si>
  <si>
    <t xml:space="preserve">Pallavi Mehta</t>
  </si>
  <si>
    <t xml:space="preserve">ORD-00468</t>
  </si>
  <si>
    <t xml:space="preserve">ORD-00469</t>
  </si>
  <si>
    <t xml:space="preserve">ORD-00470</t>
  </si>
  <si>
    <t xml:space="preserve">ORD-00471</t>
  </si>
  <si>
    <t xml:space="preserve">ORD-00472</t>
  </si>
  <si>
    <t xml:space="preserve">ORD-00473</t>
  </si>
  <si>
    <t xml:space="preserve">ORD-00474</t>
  </si>
  <si>
    <t xml:space="preserve">ORD-00475</t>
  </si>
  <si>
    <t xml:space="preserve">ORD-00476</t>
  </si>
  <si>
    <t xml:space="preserve">ORD-00477</t>
  </si>
  <si>
    <t xml:space="preserve">ORD-00478</t>
  </si>
  <si>
    <t xml:space="preserve">ORD-00479</t>
  </si>
  <si>
    <t xml:space="preserve">ORD-00480</t>
  </si>
  <si>
    <t xml:space="preserve">ORD-00481</t>
  </si>
  <si>
    <t xml:space="preserve">ORD-00482</t>
  </si>
  <si>
    <t xml:space="preserve">ORD-00483</t>
  </si>
  <si>
    <t xml:space="preserve">ORD-00484</t>
  </si>
  <si>
    <t xml:space="preserve">ORD-00485</t>
  </si>
  <si>
    <t xml:space="preserve">ORD-00486</t>
  </si>
  <si>
    <t xml:space="preserve">ORD-00487</t>
  </si>
  <si>
    <t xml:space="preserve">ORD-00488</t>
  </si>
  <si>
    <t xml:space="preserve">ORD-00489</t>
  </si>
  <si>
    <t xml:space="preserve">ORD-00490</t>
  </si>
  <si>
    <t xml:space="preserve">ORD-00491</t>
  </si>
  <si>
    <t xml:space="preserve">ORD-00492</t>
  </si>
  <si>
    <t xml:space="preserve">ORD-00493</t>
  </si>
  <si>
    <t xml:space="preserve">ORD-00494</t>
  </si>
  <si>
    <t xml:space="preserve">ORD-00495</t>
  </si>
  <si>
    <t xml:space="preserve">ORD-00496</t>
  </si>
  <si>
    <t xml:space="preserve">ORD-00497</t>
  </si>
  <si>
    <t xml:space="preserve">CUST-0027</t>
  </si>
  <si>
    <t xml:space="preserve">Aditya Gupta</t>
  </si>
  <si>
    <t xml:space="preserve">ORD-00498</t>
  </si>
  <si>
    <t xml:space="preserve">ORD-00499</t>
  </si>
  <si>
    <t xml:space="preserve">ORD-00500</t>
  </si>
  <si>
    <t xml:space="preserve">ORD-00501</t>
  </si>
  <si>
    <t xml:space="preserve">ORD-00502</t>
  </si>
  <si>
    <t xml:space="preserve">CUST-0199</t>
  </si>
  <si>
    <t xml:space="preserve">Yash Bansal</t>
  </si>
  <si>
    <t xml:space="preserve">ORD-00503</t>
  </si>
  <si>
    <t xml:space="preserve">ORD-00504</t>
  </si>
  <si>
    <t xml:space="preserve">ORD-00505</t>
  </si>
  <si>
    <t xml:space="preserve">ORD-00506</t>
  </si>
  <si>
    <t xml:space="preserve">ORD-00507</t>
  </si>
  <si>
    <t xml:space="preserve">ORD-00508</t>
  </si>
  <si>
    <t xml:space="preserve">ORD-00509</t>
  </si>
  <si>
    <t xml:space="preserve">ORD-00510</t>
  </si>
  <si>
    <t xml:space="preserve">CUST-0122</t>
  </si>
  <si>
    <t xml:space="preserve">Manish Mehta</t>
  </si>
  <si>
    <t xml:space="preserve">ORD-00511</t>
  </si>
  <si>
    <t xml:space="preserve">ORD-00512</t>
  </si>
  <si>
    <t xml:space="preserve">ORD-00513</t>
  </si>
  <si>
    <t xml:space="preserve">ORD-00514</t>
  </si>
  <si>
    <t xml:space="preserve">ORD-00515</t>
  </si>
  <si>
    <t xml:space="preserve">ORD-00516</t>
  </si>
  <si>
    <t xml:space="preserve">ORD-00517</t>
  </si>
  <si>
    <t xml:space="preserve">ORD-00518</t>
  </si>
  <si>
    <t xml:space="preserve">ORD-00519</t>
  </si>
  <si>
    <t xml:space="preserve">ORD-00520</t>
  </si>
  <si>
    <t xml:space="preserve">CUST-0025</t>
  </si>
  <si>
    <t xml:space="preserve">Manish Reddy</t>
  </si>
  <si>
    <t xml:space="preserve">ORD-00521</t>
  </si>
  <si>
    <t xml:space="preserve">ORD-00522</t>
  </si>
  <si>
    <t xml:space="preserve">ORD-00523</t>
  </si>
  <si>
    <t xml:space="preserve">ORD-00524</t>
  </si>
  <si>
    <t xml:space="preserve">ORD-00525</t>
  </si>
  <si>
    <t xml:space="preserve">ORD-00526</t>
  </si>
  <si>
    <t xml:space="preserve">ORD-00527</t>
  </si>
  <si>
    <t xml:space="preserve">ORD-00528</t>
  </si>
  <si>
    <t xml:space="preserve">ORD-00529</t>
  </si>
  <si>
    <t xml:space="preserve">ORD-00530</t>
  </si>
  <si>
    <t xml:space="preserve">ORD-00531</t>
  </si>
  <si>
    <t xml:space="preserve">ORD-00532</t>
  </si>
  <si>
    <t xml:space="preserve">ORD-00533</t>
  </si>
  <si>
    <t xml:space="preserve">ORD-00534</t>
  </si>
  <si>
    <t xml:space="preserve">ORD-00535</t>
  </si>
  <si>
    <t xml:space="preserve">ORD-00536</t>
  </si>
  <si>
    <t xml:space="preserve">ORD-00537</t>
  </si>
  <si>
    <t xml:space="preserve">ORD-00538</t>
  </si>
  <si>
    <t xml:space="preserve">ORD-00539</t>
  </si>
  <si>
    <t xml:space="preserve">ORD-00540</t>
  </si>
  <si>
    <t xml:space="preserve">ORD-00541</t>
  </si>
  <si>
    <t xml:space="preserve">ORD-00542</t>
  </si>
  <si>
    <t xml:space="preserve">ORD-00543</t>
  </si>
  <si>
    <t xml:space="preserve">CUST-0164</t>
  </si>
  <si>
    <t xml:space="preserve">Isha Agarwal</t>
  </si>
  <si>
    <t xml:space="preserve">ORD-00544</t>
  </si>
  <si>
    <t xml:space="preserve">ORD-00545</t>
  </si>
  <si>
    <t xml:space="preserve">ORD-00546</t>
  </si>
  <si>
    <t xml:space="preserve">ORD-00547</t>
  </si>
  <si>
    <t xml:space="preserve">CUST-0072</t>
  </si>
  <si>
    <t xml:space="preserve">Anjali Chauhan</t>
  </si>
  <si>
    <t xml:space="preserve">ORD-00548</t>
  </si>
  <si>
    <t xml:space="preserve">ORD-00549</t>
  </si>
  <si>
    <t xml:space="preserve">ORD-00550</t>
  </si>
  <si>
    <t xml:space="preserve">ORD-00551</t>
  </si>
  <si>
    <t xml:space="preserve">ORD-00552</t>
  </si>
  <si>
    <t xml:space="preserve">ORD-00553</t>
  </si>
  <si>
    <t xml:space="preserve">ORD-00554</t>
  </si>
  <si>
    <t xml:space="preserve">ORD-00555</t>
  </si>
  <si>
    <t xml:space="preserve">ORD-00556</t>
  </si>
  <si>
    <t xml:space="preserve">ORD-00557</t>
  </si>
  <si>
    <t xml:space="preserve">ORD-00558</t>
  </si>
  <si>
    <t xml:space="preserve">ORD-00559</t>
  </si>
  <si>
    <t xml:space="preserve">ORD-00560</t>
  </si>
  <si>
    <t xml:space="preserve">Pivot-style summary tables built with SUMIFS / COUNTIFS / AVERAGEIFS from Raw Data.</t>
  </si>
  <si>
    <t xml:space="preserve">Region-wise Performance (Recognized Revenue)</t>
  </si>
  <si>
    <t xml:space="preserve">Avg Order Value</t>
  </si>
  <si>
    <t xml:space="preserve">Category-wise Performance (Recognized Revenue)</t>
  </si>
  <si>
    <t xml:space="preserve">Gross Margin %</t>
  </si>
  <si>
    <t xml:space="preserve">Product-wise Performance (Recognized Revenue)</t>
  </si>
  <si>
    <t xml:space="preserve">Units Sold</t>
  </si>
  <si>
    <t xml:space="preserve">Salesperson-wise Performance (Recognized Revenue)</t>
  </si>
  <si>
    <t xml:space="preserve">Payment Method-wise Orders (Recognized Revenue)</t>
  </si>
  <si>
    <t xml:space="preserve">Order Status Distribution (All Orders, Incl. Cancelled/Returned)</t>
  </si>
  <si>
    <t xml:space="preserve">% of Total Orders</t>
  </si>
  <si>
    <t xml:space="preserve">Monthly Trend (from Calculations sheet)</t>
  </si>
  <si>
    <t xml:space="preserve">Orders</t>
  </si>
  <si>
    <t xml:space="preserve">Optional: Build a Native PivotTable &amp; Slicer (not included by default)</t>
  </si>
  <si>
    <t xml:space="preserve">This workbook uses SUMIFS/COUNTIFS summary tables above so every number is traceable. No PivotTable or Slicer is built into this file. If you want a click-to-filter experience, add one yourself in a few steps:</t>
  </si>
  <si>
    <t xml:space="preserve">1. Click any cell inside the 'Raw Data' table.</t>
  </si>
  <si>
    <t xml:space="preserve">2. Insert &gt; PivotTable &gt; New Worksheet.</t>
  </si>
  <si>
    <t xml:space="preserve">3. Drag Region / Category / Product / Salesperson to Rows, and Revenue / Net Profit to Values.</t>
  </si>
  <si>
    <t xml:space="preserve">4. Insert &gt; Slicer, choose Region, Category, Salesperson and Order Status for click-to-filter controls.</t>
  </si>
  <si>
    <t xml:space="preserve">5. Select the PivotTable &gt; Insert &gt; PivotChart for a linked chart that updates with the slicers.</t>
  </si>
  <si>
    <t xml:space="preserve">Top 10 Products by Gross Profit</t>
  </si>
  <si>
    <t xml:space="preserve">Operating Expense by Category</t>
  </si>
  <si>
    <t xml:space="preserve">All figures are calculated live from Raw Data. Revenue, cost and profit figures exclude Cancelled and Returned orders (see note below).</t>
  </si>
  <si>
    <t xml:space="preserve">KPI</t>
  </si>
  <si>
    <t xml:space="preserve">Value</t>
  </si>
  <si>
    <t xml:space="preserve">Formula Logic</t>
  </si>
  <si>
    <t xml:space="preserve">SUMIFS of Revenue, excluding Cancelled/Returned orders</t>
  </si>
  <si>
    <t xml:space="preserve">SUMIFS of COGS, excluding Cancelled/Returned orders</t>
  </si>
  <si>
    <t xml:space="preserve">Total Revenue - Total COGS</t>
  </si>
  <si>
    <t xml:space="preserve">Gross Profit / Total Revenue</t>
  </si>
  <si>
    <t xml:space="preserve">Operating Expenses</t>
  </si>
  <si>
    <t xml:space="preserve">SUMIFS of Operating Expense, excluding Cancelled/Returned orders</t>
  </si>
  <si>
    <t xml:space="preserve">Gross Profit - Operating Expenses</t>
  </si>
  <si>
    <t xml:space="preserve">Net Profit Margin %</t>
  </si>
  <si>
    <t xml:space="preserve">Net Profit / Total Revenue</t>
  </si>
  <si>
    <t xml:space="preserve">Total Orders Placed (All Statuses)</t>
  </si>
  <si>
    <t xml:space="preserve">COUNTA of Order ID column - includes Cancelled/Returned (volume metric)</t>
  </si>
  <si>
    <t xml:space="preserve">Recognized Orders (Delivered + Pending)</t>
  </si>
  <si>
    <t xml:space="preserve">COUNTIFS excluding Cancelled/Returned - the order count behind Revenue</t>
  </si>
  <si>
    <t xml:space="preserve">Cancelled / Returned Orders</t>
  </si>
  <si>
    <t xml:space="preserve">Total Orders Placed - Recognized Orders</t>
  </si>
  <si>
    <t xml:space="preserve">Total Units Sold</t>
  </si>
  <si>
    <t xml:space="preserve">SUMIFS of Quantity, excluding Cancelled/Returned orders</t>
  </si>
  <si>
    <t xml:space="preserve">Average Order Value (AOV)</t>
  </si>
  <si>
    <t xml:space="preserve">Total Revenue / Recognized Orders</t>
  </si>
  <si>
    <t xml:space="preserve">Average Selling Price (ASP)</t>
  </si>
  <si>
    <t xml:space="preserve">Total Revenue / Total Units Sold</t>
  </si>
  <si>
    <t xml:space="preserve">Revenue Recognition Rule</t>
  </si>
  <si>
    <t xml:space="preserve">Cancelled and Returned orders are excluded from every financial KPI above, as well as from Gross/Net Profit and margin calculations - only Delivered and Pending orders are treated as recognized revenue. 'Total Orders Placed' is shown separately as an operational volume metric that includes all order statuses.</t>
  </si>
  <si>
    <t xml:space="preserve">Nexora Retail Solutions</t>
  </si>
  <si>
    <t xml:space="preserve">Business Finance &amp; Sales Performance Dashboard  |  Analysis Period: Aug 2025 - Jul 2026</t>
  </si>
  <si>
    <t xml:space="preserve">Figures reflect Delivered and Pending orders only; Cancelled and Returned orders are excluded from Revenue, COGS, Gross Profit, Operating Expense and Net Profit (see KPI Summary sheet for the full revenue-recognition rule).</t>
  </si>
  <si>
    <t xml:space="preserve">Net Profit Margin</t>
  </si>
  <si>
    <t xml:space="preserve">Recognized Orders</t>
  </si>
  <si>
    <t xml:space="preserve">Business Insights</t>
  </si>
  <si>
    <t xml:space="preserve">Every statement below is calculated directly from the Raw Data sheet - nothing is manually typed in.</t>
  </si>
  <si>
    <t xml:space="preserve">Automated Insight Calculations</t>
  </si>
  <si>
    <t xml:space="preserve">Highest revenue month</t>
  </si>
  <si>
    <t xml:space="preserve">Lowest revenue month</t>
  </si>
  <si>
    <t xml:space="preserve">Highest-performing region</t>
  </si>
  <si>
    <t xml:space="preserve">Most profitable category (by gross margin %)</t>
  </si>
  <si>
    <t xml:space="preserve">Top product by revenue</t>
  </si>
  <si>
    <t xml:space="preserve">Top product by gross profit</t>
  </si>
  <si>
    <t xml:space="preserve">Best salesperson (by revenue)</t>
  </si>
  <si>
    <t xml:space="preserve">Average order value</t>
  </si>
  <si>
    <t xml:space="preserve">Overall profit margin</t>
  </si>
  <si>
    <t xml:space="preserve">Major expense driver</t>
  </si>
  <si>
    <t xml:space="preserve">Order cancellation / return pattern</t>
  </si>
  <si>
    <t xml:space="preserve">Interpretation Notes</t>
  </si>
  <si>
    <t xml:space="preserve">These insights update automatically if the Raw Data changes - they are formulas, not typed conclusions.</t>
  </si>
  <si>
    <t xml:space="preserve">Monthly revenue shows normal month-to-month fluctuation rather than a strong trend, which is realistic for a 12-month window with randomly distributed orders across products and regions.</t>
  </si>
  <si>
    <t xml:space="preserve">Gross margin differs by category mainly because of differing unit cost ratios per product - categories with lower-cost accessories naturally show higher gross margin % than higher-cost electronics categories.</t>
  </si>
  <si>
    <t xml:space="preserve">The cancellation/return rate is a useful operational KPI - in a real business this would be investigated by product and by salesperson to find the root cause.</t>
  </si>
  <si>
    <t xml:space="preserve">No conclusion in this sheet goes beyond what the Raw Data and Pivot Analysis tables directly support - there is no reference to information outside the 560-row dataset.</t>
  </si>
</sst>
</file>

<file path=xl/styles.xml><?xml version="1.0" encoding="utf-8"?>
<styleSheet xmlns="http://schemas.openxmlformats.org/spreadsheetml/2006/main">
  <numFmts count="7">
    <numFmt numFmtId="164" formatCode="General"/>
    <numFmt numFmtId="165" formatCode="&quot;Rs. &quot;#,##0"/>
    <numFmt numFmtId="166" formatCode="0.0%"/>
    <numFmt numFmtId="167" formatCode="mmm\-yyyy"/>
    <numFmt numFmtId="168" formatCode="dd\-mmm\-yyyy"/>
    <numFmt numFmtId="169" formatCode="&quot;Rs. &quot;#,##0.00"/>
    <numFmt numFmtId="170" formatCode="#,##0"/>
  </numFmts>
  <fonts count="18">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1"/>
      <color rgb="FF7F7F7F"/>
      <name val="Arial"/>
      <family val="0"/>
      <charset val="1"/>
    </font>
    <font>
      <b val="true"/>
      <sz val="12"/>
      <color rgb="FFFFFFFF"/>
      <name val="Arial"/>
      <family val="0"/>
      <charset val="1"/>
    </font>
    <font>
      <sz val="10"/>
      <name val="Arial"/>
      <family val="0"/>
      <charset val="1"/>
    </font>
    <font>
      <b val="true"/>
      <sz val="10"/>
      <name val="Arial"/>
      <family val="0"/>
      <charset val="1"/>
    </font>
    <font>
      <b val="true"/>
      <sz val="11"/>
      <color rgb="FFFFFFFF"/>
      <name val="Arial"/>
      <family val="0"/>
      <charset val="1"/>
    </font>
    <font>
      <sz val="10"/>
      <name val="Arial"/>
      <family val="2"/>
    </font>
    <font>
      <b val="true"/>
      <sz val="18"/>
      <color rgb="FF1F4E78"/>
      <name val="Arial"/>
      <family val="0"/>
      <charset val="1"/>
    </font>
    <font>
      <i val="true"/>
      <sz val="9"/>
      <color rgb="FF7F7F7F"/>
      <name val="Arial"/>
      <family val="0"/>
      <charset val="1"/>
    </font>
    <font>
      <b val="true"/>
      <sz val="9"/>
      <color rgb="FF1F4E78"/>
      <name val="Arial"/>
      <family val="0"/>
      <charset val="1"/>
    </font>
    <font>
      <b val="true"/>
      <sz val="13"/>
      <color rgb="FF2E75B6"/>
      <name val="Arial"/>
      <family val="0"/>
      <charset val="1"/>
    </font>
    <font>
      <b val="true"/>
      <sz val="18"/>
      <color rgb="FF000000"/>
      <name val="Calibri"/>
      <family val="2"/>
    </font>
    <font>
      <sz val="10"/>
      <color rgb="FF000000"/>
      <name val="Calibri"/>
      <family val="2"/>
    </font>
    <font>
      <sz val="10"/>
      <color rgb="FF1F4E78"/>
      <name val="Arial"/>
      <family val="0"/>
      <charset val="1"/>
    </font>
  </fonts>
  <fills count="5">
    <fill>
      <patternFill patternType="none"/>
    </fill>
    <fill>
      <patternFill patternType="gray125"/>
    </fill>
    <fill>
      <patternFill patternType="solid">
        <fgColor rgb="FF2E75B6"/>
        <bgColor rgb="FF4F81BD"/>
      </patternFill>
    </fill>
    <fill>
      <patternFill patternType="solid">
        <fgColor rgb="FF1F4E78"/>
        <bgColor rgb="FF003366"/>
      </patternFill>
    </fill>
    <fill>
      <patternFill patternType="solid">
        <fgColor rgb="FFDCE6F1"/>
        <bgColor rgb="FFD9D9D9"/>
      </patternFill>
    </fill>
  </fills>
  <borders count="2">
    <border diagonalUp="false" diagonalDown="false">
      <left/>
      <right/>
      <top/>
      <bottom/>
      <diagonal/>
    </border>
    <border diagonalUp="false" diagonalDown="false">
      <left style="thin">
        <color rgb="FFB7C6D9"/>
      </left>
      <right style="thin">
        <color rgb="FFB7C6D9"/>
      </right>
      <top style="thin">
        <color rgb="FFB7C6D9"/>
      </top>
      <bottom style="thin">
        <color rgb="FFB7C6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false" indent="0" shrinkToFit="false"/>
      <protection locked="true" hidden="false"/>
    </xf>
    <xf numFmtId="166" fontId="14" fillId="4" borderId="1" xfId="0" applyFont="true" applyBorder="true" applyAlignment="true" applyProtection="false">
      <alignment horizontal="center" vertical="center" textRotation="0" wrapText="false" indent="0" shrinkToFit="false"/>
      <protection locked="true" hidden="false"/>
    </xf>
    <xf numFmtId="170" fontId="14"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145"/>
      <rgbColor rgb="FFB7C6D9"/>
      <rgbColor rgb="FF7F7F7F"/>
      <rgbColor rgb="FF9999FF"/>
      <rgbColor rgb="FF8E44AD"/>
      <rgbColor rgb="FFF9F9F9"/>
      <rgbColor rgb="FFDCE6F1"/>
      <rgbColor rgb="FF660066"/>
      <rgbColor rgb="FFFF8080"/>
      <rgbColor rgb="FF0066CC"/>
      <rgbColor rgb="FFD9D9D9"/>
      <rgbColor rgb="FF000080"/>
      <rgbColor rgb="FFFF00FF"/>
      <rgbColor rgb="FFFFFF00"/>
      <rgbColor rgb="FF00FFFF"/>
      <rgbColor rgb="FF800080"/>
      <rgbColor rgb="FF800000"/>
      <rgbColor rgb="FF4F81BD"/>
      <rgbColor rgb="FF0000FF"/>
      <rgbColor rgb="FF00CCFF"/>
      <rgbColor rgb="FFCCFFFF"/>
      <rgbColor rgb="FFCCFFCC"/>
      <rgbColor rgb="FFFFFF99"/>
      <rgbColor rgb="FF99CCFF"/>
      <rgbColor rgb="FFFF99CC"/>
      <rgbColor rgb="FFCC99FF"/>
      <rgbColor rgb="FFFFCC99"/>
      <rgbColor rgb="FF2E75B6"/>
      <rgbColor rgb="FF4BACC6"/>
      <rgbColor rgb="FF9BBB59"/>
      <rgbColor rgb="FFFFCC00"/>
      <rgbColor rgb="FFF79646"/>
      <rgbColor rgb="FFFF6600"/>
      <rgbColor rgb="FF8064A2"/>
      <rgbColor rgb="FF878787"/>
      <rgbColor rgb="FF003366"/>
      <rgbColor rgb="FF2E7D32"/>
      <rgbColor rgb="FF003300"/>
      <rgbColor rgb="FF333300"/>
      <rgbColor rgb="FF993300"/>
      <rgbColor rgb="FFC0504D"/>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'Pivot Analysis'!B79</c:f>
              <c:strCache>
                <c:ptCount val="1"/>
                <c:pt idx="0">
                  <c:v>Revenue</c:v>
                </c:pt>
              </c:strCache>
            </c:strRef>
          </c:tx>
          <c:spPr>
            <a:solidFill>
              <a:srgbClr val="2e75b6"/>
            </a:solidFill>
            <a:ln w="21960">
              <a:solidFill>
                <a:srgbClr val="2e75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Analysis'!$A$80:$A$91</c:f>
              <c:strCache>
                <c:ptCount val="12"/>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strCache>
            </c:strRef>
          </c:cat>
          <c:val>
            <c:numRef>
              <c:f>'Pivot Analysis'!$B$80:$B$91</c:f>
              <c:numCache>
                <c:formatCode>"Rs. "#,##0</c:formatCode>
                <c:ptCount val="12"/>
                <c:pt idx="0">
                  <c:v>308354.9085</c:v>
                </c:pt>
                <c:pt idx="1">
                  <c:v>240271.288</c:v>
                </c:pt>
                <c:pt idx="2">
                  <c:v>285740.4875</c:v>
                </c:pt>
                <c:pt idx="3">
                  <c:v>194015.8475</c:v>
                </c:pt>
                <c:pt idx="4">
                  <c:v>211208.905</c:v>
                </c:pt>
                <c:pt idx="5">
                  <c:v>267567.1195</c:v>
                </c:pt>
                <c:pt idx="6">
                  <c:v>261061.4125</c:v>
                </c:pt>
                <c:pt idx="7">
                  <c:v>293993.194</c:v>
                </c:pt>
                <c:pt idx="8">
                  <c:v>384240.2555</c:v>
                </c:pt>
                <c:pt idx="9">
                  <c:v>248761.617</c:v>
                </c:pt>
                <c:pt idx="10">
                  <c:v>326130.3335</c:v>
                </c:pt>
                <c:pt idx="11">
                  <c:v>261369.552</c:v>
                </c:pt>
              </c:numCache>
            </c:numRef>
          </c:val>
          <c:smooth val="0"/>
        </c:ser>
        <c:hiLowLines>
          <c:spPr>
            <a:ln w="0">
              <a:noFill/>
            </a:ln>
          </c:spPr>
        </c:hiLowLines>
        <c:marker val="0"/>
        <c:axId val="38253122"/>
        <c:axId val="22962006"/>
      </c:lineChart>
      <c:catAx>
        <c:axId val="382531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962006"/>
        <c:crosses val="autoZero"/>
        <c:auto val="1"/>
        <c:lblAlgn val="ctr"/>
        <c:lblOffset val="100"/>
        <c:noMultiLvlLbl val="0"/>
      </c:catAx>
      <c:valAx>
        <c:axId val="22962006"/>
        <c:scaling>
          <c:orientation val="minMax"/>
        </c:scaling>
        <c:delete val="0"/>
        <c:axPos val="l"/>
        <c:numFmt formatCode="&quot;Rs.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2531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Net Profit Trend</a:t>
            </a:r>
          </a:p>
        </c:rich>
      </c:tx>
      <c:overlay val="0"/>
      <c:spPr>
        <a:noFill/>
        <a:ln w="0">
          <a:noFill/>
        </a:ln>
      </c:spPr>
    </c:title>
    <c:autoTitleDeleted val="0"/>
    <c:plotArea>
      <c:lineChart>
        <c:grouping val="standard"/>
        <c:varyColors val="0"/>
        <c:ser>
          <c:idx val="0"/>
          <c:order val="0"/>
          <c:tx>
            <c:strRef>
              <c:f>'Pivot Analysis'!C79</c:f>
              <c:strCache>
                <c:ptCount val="1"/>
                <c:pt idx="0">
                  <c:v>Net Profit</c:v>
                </c:pt>
              </c:strCache>
            </c:strRef>
          </c:tx>
          <c:spPr>
            <a:solidFill>
              <a:srgbClr val="1e7145"/>
            </a:solidFill>
            <a:ln w="21960">
              <a:solidFill>
                <a:srgbClr val="1e714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Analysis'!$A$80:$A$91</c:f>
              <c:strCache>
                <c:ptCount val="12"/>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strCache>
            </c:strRef>
          </c:cat>
          <c:val>
            <c:numRef>
              <c:f>'Pivot Analysis'!$C$80:$C$91</c:f>
              <c:numCache>
                <c:formatCode>"Rs. "#,##0</c:formatCode>
                <c:ptCount val="12"/>
                <c:pt idx="0">
                  <c:v>106206.34853</c:v>
                </c:pt>
                <c:pt idx="1">
                  <c:v>77882.078285</c:v>
                </c:pt>
                <c:pt idx="2">
                  <c:v>93128.34108</c:v>
                </c:pt>
                <c:pt idx="3">
                  <c:v>61442.6566125</c:v>
                </c:pt>
                <c:pt idx="4">
                  <c:v>67890.175595</c:v>
                </c:pt>
                <c:pt idx="5">
                  <c:v>89267.171345</c:v>
                </c:pt>
                <c:pt idx="6">
                  <c:v>86712.917255</c:v>
                </c:pt>
                <c:pt idx="7">
                  <c:v>91779.8447</c:v>
                </c:pt>
                <c:pt idx="8">
                  <c:v>124375.50397</c:v>
                </c:pt>
                <c:pt idx="9">
                  <c:v>80709.52829</c:v>
                </c:pt>
                <c:pt idx="10">
                  <c:v>109057.91067</c:v>
                </c:pt>
                <c:pt idx="11">
                  <c:v>84878.97462</c:v>
                </c:pt>
              </c:numCache>
            </c:numRef>
          </c:val>
          <c:smooth val="1"/>
        </c:ser>
        <c:hiLowLines>
          <c:spPr>
            <a:ln w="0">
              <a:noFill/>
            </a:ln>
          </c:spPr>
        </c:hiLowLines>
        <c:marker val="0"/>
        <c:axId val="74849056"/>
        <c:axId val="86886839"/>
      </c:lineChart>
      <c:catAx>
        <c:axId val="748490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86839"/>
        <c:crosses val="autoZero"/>
        <c:auto val="1"/>
        <c:lblAlgn val="ctr"/>
        <c:lblOffset val="100"/>
        <c:noMultiLvlLbl val="0"/>
      </c:catAx>
      <c:valAx>
        <c:axId val="86886839"/>
        <c:scaling>
          <c:orientation val="minMax"/>
        </c:scaling>
        <c:delete val="0"/>
        <c:axPos val="l"/>
        <c:numFmt formatCode="&quot;Rs.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8490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Region-wise Revenue</a:t>
            </a:r>
          </a:p>
        </c:rich>
      </c:tx>
      <c:overlay val="0"/>
      <c:spPr>
        <a:noFill/>
        <a:ln w="0">
          <a:noFill/>
        </a:ln>
      </c:spPr>
    </c:title>
    <c:autoTitleDeleted val="0"/>
    <c:plotArea>
      <c:barChart>
        <c:barDir val="col"/>
        <c:grouping val="clustered"/>
        <c:varyColors val="0"/>
        <c:ser>
          <c:idx val="0"/>
          <c:order val="0"/>
          <c:tx>
            <c:strRef>
              <c:f>'Pivot Analysis'!B5</c:f>
              <c:strCache>
                <c:ptCount val="1"/>
                <c:pt idx="0">
                  <c:v>Total Revenue</c:v>
                </c:pt>
              </c:strCache>
            </c:strRef>
          </c:tx>
          <c:spPr>
            <a:solidFill>
              <a:srgbClr val="2e75b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Analysis'!$A$6:$A$10</c:f>
              <c:strCache>
                <c:ptCount val="5"/>
                <c:pt idx="0">
                  <c:v>North</c:v>
                </c:pt>
                <c:pt idx="1">
                  <c:v>South</c:v>
                </c:pt>
                <c:pt idx="2">
                  <c:v>East</c:v>
                </c:pt>
                <c:pt idx="3">
                  <c:v>West</c:v>
                </c:pt>
                <c:pt idx="4">
                  <c:v>Central</c:v>
                </c:pt>
              </c:strCache>
            </c:strRef>
          </c:cat>
          <c:val>
            <c:numRef>
              <c:f>'Pivot Analysis'!$B$6:$B$10</c:f>
              <c:numCache>
                <c:formatCode>"Rs. "#,##0</c:formatCode>
                <c:ptCount val="5"/>
                <c:pt idx="0">
                  <c:v>578410.7655</c:v>
                </c:pt>
                <c:pt idx="1">
                  <c:v>521494.893</c:v>
                </c:pt>
                <c:pt idx="2">
                  <c:v>574551.983</c:v>
                </c:pt>
                <c:pt idx="3">
                  <c:v>749762.952</c:v>
                </c:pt>
                <c:pt idx="4">
                  <c:v>858494.327</c:v>
                </c:pt>
              </c:numCache>
            </c:numRef>
          </c:val>
        </c:ser>
        <c:gapWidth val="150"/>
        <c:overlap val="0"/>
        <c:axId val="18843957"/>
        <c:axId val="38366497"/>
      </c:barChart>
      <c:catAx>
        <c:axId val="188439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366497"/>
        <c:crosses val="autoZero"/>
        <c:auto val="1"/>
        <c:lblAlgn val="ctr"/>
        <c:lblOffset val="100"/>
        <c:noMultiLvlLbl val="0"/>
      </c:catAx>
      <c:valAx>
        <c:axId val="38366497"/>
        <c:scaling>
          <c:orientation val="minMax"/>
        </c:scaling>
        <c:delete val="0"/>
        <c:axPos val="l"/>
        <c:numFmt formatCode="&quot;Rs.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439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Category-wise Revenue</a:t>
            </a:r>
          </a:p>
        </c:rich>
      </c:tx>
      <c:overlay val="0"/>
      <c:spPr>
        <a:noFill/>
        <a:ln w="0">
          <a:noFill/>
        </a:ln>
      </c:spPr>
    </c:title>
    <c:autoTitleDeleted val="0"/>
    <c:plotArea>
      <c:barChart>
        <c:barDir val="col"/>
        <c:grouping val="clustered"/>
        <c:varyColors val="0"/>
        <c:ser>
          <c:idx val="0"/>
          <c:order val="0"/>
          <c:tx>
            <c:strRef>
              <c:f>'Pivot Analysis'!B14</c:f>
              <c:strCache>
                <c:ptCount val="1"/>
                <c:pt idx="0">
                  <c:v>Revenue</c:v>
                </c:pt>
              </c:strCache>
            </c:strRef>
          </c:tx>
          <c:spPr>
            <a:solidFill>
              <a:srgbClr val="1f4e7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Analysis'!$A$15:$A$20</c:f>
              <c:strCache>
                <c:ptCount val="6"/>
                <c:pt idx="0">
                  <c:v>Audio</c:v>
                </c:pt>
                <c:pt idx="1">
                  <c:v>Mobile Accessories</c:v>
                </c:pt>
                <c:pt idx="2">
                  <c:v>Computer Peripherals</c:v>
                </c:pt>
                <c:pt idx="3">
                  <c:v>Smart Home</c:v>
                </c:pt>
                <c:pt idx="4">
                  <c:v>Wearables</c:v>
                </c:pt>
                <c:pt idx="5">
                  <c:v>Cameras</c:v>
                </c:pt>
              </c:strCache>
            </c:strRef>
          </c:cat>
          <c:val>
            <c:numRef>
              <c:f>'Pivot Analysis'!$B$15:$B$20</c:f>
              <c:numCache>
                <c:formatCode>"Rs. "#,##0</c:formatCode>
                <c:ptCount val="6"/>
                <c:pt idx="0">
                  <c:v>294877.6605</c:v>
                </c:pt>
                <c:pt idx="1">
                  <c:v>69145.095</c:v>
                </c:pt>
                <c:pt idx="2">
                  <c:v>967569.5735</c:v>
                </c:pt>
                <c:pt idx="3">
                  <c:v>605532.5835</c:v>
                </c:pt>
                <c:pt idx="4">
                  <c:v>612326.0955</c:v>
                </c:pt>
                <c:pt idx="5">
                  <c:v>733263.9125</c:v>
                </c:pt>
              </c:numCache>
            </c:numRef>
          </c:val>
        </c:ser>
        <c:gapWidth val="150"/>
        <c:overlap val="0"/>
        <c:axId val="36615537"/>
        <c:axId val="5096763"/>
      </c:barChart>
      <c:catAx>
        <c:axId val="366155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96763"/>
        <c:crosses val="autoZero"/>
        <c:auto val="1"/>
        <c:lblAlgn val="ctr"/>
        <c:lblOffset val="100"/>
        <c:noMultiLvlLbl val="0"/>
      </c:catAx>
      <c:valAx>
        <c:axId val="5096763"/>
        <c:scaling>
          <c:orientation val="minMax"/>
        </c:scaling>
        <c:delete val="0"/>
        <c:axPos val="l"/>
        <c:numFmt formatCode="&quot;Rs.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6155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Gross Profit</a:t>
            </a:r>
          </a:p>
        </c:rich>
      </c:tx>
      <c:overlay val="0"/>
      <c:spPr>
        <a:noFill/>
        <a:ln w="0">
          <a:noFill/>
        </a:ln>
      </c:spPr>
    </c:title>
    <c:autoTitleDeleted val="0"/>
    <c:plotArea>
      <c:barChart>
        <c:barDir val="bar"/>
        <c:grouping val="clustered"/>
        <c:varyColors val="0"/>
        <c:ser>
          <c:idx val="0"/>
          <c:order val="0"/>
          <c:tx>
            <c:strRef>
              <c:f>'Pivot Analysis'!B105</c:f>
              <c:strCache>
                <c:ptCount val="1"/>
                <c:pt idx="0">
                  <c:v>Gross Profit</c:v>
                </c:pt>
              </c:strCache>
            </c:strRef>
          </c:tx>
          <c:spPr>
            <a:solidFill>
              <a:srgbClr val="2e7d32"/>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Analysis'!$A$106:$A$115</c:f>
              <c:strCache>
                <c:ptCount val="10"/>
                <c:pt idx="0">
                  <c:v>ViewClear 24-inch Monitor</c:v>
                </c:pt>
                <c:pt idx="1">
                  <c:v>ActionCam Mini 4K</c:v>
                </c:pt>
                <c:pt idx="2">
                  <c:v>KidSafe GPS Watch</c:v>
                </c:pt>
                <c:pt idx="3">
                  <c:v>HomeSecure Wi-Fi Camera</c:v>
                </c:pt>
                <c:pt idx="4">
                  <c:v>VoiceHub Smart Speaker</c:v>
                </c:pt>
                <c:pt idx="5">
                  <c:v>PulseFit Smartwatch</c:v>
                </c:pt>
                <c:pt idx="6">
                  <c:v>HomeView 360 Camera</c:v>
                </c:pt>
                <c:pt idx="7">
                  <c:v>TypeMaster Mechanical Keyboard</c:v>
                </c:pt>
                <c:pt idx="8">
                  <c:v>StudioMax Over-Ear Headphones</c:v>
                </c:pt>
                <c:pt idx="9">
                  <c:v>HubConnect 7-in-1 USB-C Hub</c:v>
                </c:pt>
              </c:strCache>
            </c:strRef>
          </c:cat>
          <c:val>
            <c:numRef>
              <c:f>'Pivot Analysis'!$B$106:$B$115</c:f>
              <c:numCache>
                <c:formatCode>"Rs. "#,##0</c:formatCode>
                <c:ptCount val="10"/>
                <c:pt idx="0">
                  <c:v>283343.2815</c:v>
                </c:pt>
                <c:pt idx="1">
                  <c:v>204984.059</c:v>
                </c:pt>
                <c:pt idx="2">
                  <c:v>105947.1715</c:v>
                </c:pt>
                <c:pt idx="3">
                  <c:v>104953.578</c:v>
                </c:pt>
                <c:pt idx="4">
                  <c:v>99111.2415</c:v>
                </c:pt>
                <c:pt idx="5">
                  <c:v>92398.324</c:v>
                </c:pt>
                <c:pt idx="6">
                  <c:v>89479.8535</c:v>
                </c:pt>
                <c:pt idx="7">
                  <c:v>67725.804</c:v>
                </c:pt>
                <c:pt idx="8">
                  <c:v>62787.0145</c:v>
                </c:pt>
                <c:pt idx="9">
                  <c:v>43169.3565</c:v>
                </c:pt>
              </c:numCache>
            </c:numRef>
          </c:val>
        </c:ser>
        <c:gapWidth val="150"/>
        <c:overlap val="0"/>
        <c:axId val="3911347"/>
        <c:axId val="45942958"/>
      </c:barChart>
      <c:catAx>
        <c:axId val="39113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42958"/>
        <c:crosses val="autoZero"/>
        <c:auto val="1"/>
        <c:lblAlgn val="ctr"/>
        <c:lblOffset val="100"/>
        <c:noMultiLvlLbl val="0"/>
      </c:catAx>
      <c:valAx>
        <c:axId val="45942958"/>
        <c:scaling>
          <c:orientation val="minMax"/>
        </c:scaling>
        <c:delete val="0"/>
        <c:axPos val="l"/>
        <c:numFmt formatCode="&quot;Rs.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113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Salesperson Performance (Revenue)</a:t>
            </a:r>
          </a:p>
        </c:rich>
      </c:tx>
      <c:overlay val="0"/>
      <c:spPr>
        <a:noFill/>
        <a:ln w="0">
          <a:noFill/>
        </a:ln>
      </c:spPr>
    </c:title>
    <c:autoTitleDeleted val="0"/>
    <c:plotArea>
      <c:barChart>
        <c:barDir val="col"/>
        <c:grouping val="clustered"/>
        <c:varyColors val="0"/>
        <c:ser>
          <c:idx val="0"/>
          <c:order val="0"/>
          <c:tx>
            <c:strRef>
              <c:f>'Pivot Analysis'!B50</c:f>
              <c:strCache>
                <c:ptCount val="1"/>
                <c:pt idx="0">
                  <c:v>Revenue</c:v>
                </c:pt>
              </c:strCache>
            </c:strRef>
          </c:tx>
          <c:spPr>
            <a:solidFill>
              <a:srgbClr val="8e44a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Analysis'!$A$51:$A$58</c:f>
              <c:strCache>
                <c:ptCount val="8"/>
                <c:pt idx="0">
                  <c:v>Ananya Verma</c:v>
                </c:pt>
                <c:pt idx="1">
                  <c:v>Arjun Mehta</c:v>
                </c:pt>
                <c:pt idx="2">
                  <c:v>Kavita Rao</c:v>
                </c:pt>
                <c:pt idx="3">
                  <c:v>Neha Gupta</c:v>
                </c:pt>
                <c:pt idx="4">
                  <c:v>Priya Nair</c:v>
                </c:pt>
                <c:pt idx="5">
                  <c:v>Rohit Sharma</c:v>
                </c:pt>
                <c:pt idx="6">
                  <c:v>Suresh Kumar</c:v>
                </c:pt>
                <c:pt idx="7">
                  <c:v>Vikram Singh</c:v>
                </c:pt>
              </c:strCache>
            </c:strRef>
          </c:cat>
          <c:val>
            <c:numRef>
              <c:f>'Pivot Analysis'!$B$51:$B$58</c:f>
              <c:numCache>
                <c:formatCode>"Rs. "#,##0</c:formatCode>
                <c:ptCount val="8"/>
                <c:pt idx="0">
                  <c:v>444261.0975</c:v>
                </c:pt>
                <c:pt idx="1">
                  <c:v>358342.764</c:v>
                </c:pt>
                <c:pt idx="2">
                  <c:v>395378.947</c:v>
                </c:pt>
                <c:pt idx="3">
                  <c:v>452782.066</c:v>
                </c:pt>
                <c:pt idx="4">
                  <c:v>422272.84</c:v>
                </c:pt>
                <c:pt idx="5">
                  <c:v>317498.926</c:v>
                </c:pt>
                <c:pt idx="6">
                  <c:v>484478.1785</c:v>
                </c:pt>
                <c:pt idx="7">
                  <c:v>407700.1015</c:v>
                </c:pt>
              </c:numCache>
            </c:numRef>
          </c:val>
        </c:ser>
        <c:gapWidth val="150"/>
        <c:overlap val="0"/>
        <c:axId val="5002167"/>
        <c:axId val="96600177"/>
      </c:barChart>
      <c:catAx>
        <c:axId val="50021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600177"/>
        <c:crosses val="autoZero"/>
        <c:auto val="1"/>
        <c:lblAlgn val="ctr"/>
        <c:lblOffset val="100"/>
        <c:noMultiLvlLbl val="0"/>
      </c:catAx>
      <c:valAx>
        <c:axId val="96600177"/>
        <c:scaling>
          <c:orientation val="minMax"/>
        </c:scaling>
        <c:delete val="0"/>
        <c:axPos val="l"/>
        <c:numFmt formatCode="&quot;Rs.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21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Expense Breakdown by Category</a:t>
            </a:r>
          </a:p>
        </c:rich>
      </c:tx>
      <c:overlay val="0"/>
      <c:spPr>
        <a:noFill/>
        <a:ln w="0">
          <a:noFill/>
        </a:ln>
      </c:spPr>
    </c:title>
    <c:autoTitleDeleted val="0"/>
    <c:plotArea>
      <c:pieChart>
        <c:varyColors val="1"/>
        <c:ser>
          <c:idx val="0"/>
          <c:order val="0"/>
          <c:tx>
            <c:strRef>
              <c:f>'Pivot Analysis'!B119</c:f>
              <c:strCache>
                <c:ptCount val="1"/>
                <c:pt idx="0">
                  <c:v>Operating Expense</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Pt>
            <c:idx val="4"/>
            <c:spPr>
              <a:solidFill>
                <a:srgbClr val="4bacc6"/>
              </a:solidFill>
              <a:ln w="9360">
                <a:solidFill>
                  <a:srgbClr val="f9f9f9"/>
                </a:solidFill>
                <a:round/>
              </a:ln>
            </c:spPr>
          </c:dPt>
          <c:dPt>
            <c:idx val="5"/>
            <c:spPr>
              <a:solidFill>
                <a:srgbClr val="f79646"/>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'Pivot Analysis'!$A$120:$A$125</c:f>
              <c:strCache>
                <c:ptCount val="6"/>
                <c:pt idx="0">
                  <c:v>Audio</c:v>
                </c:pt>
                <c:pt idx="1">
                  <c:v>Mobile Accessories</c:v>
                </c:pt>
                <c:pt idx="2">
                  <c:v>Computer Peripherals</c:v>
                </c:pt>
                <c:pt idx="3">
                  <c:v>Smart Home</c:v>
                </c:pt>
                <c:pt idx="4">
                  <c:v>Wearables</c:v>
                </c:pt>
                <c:pt idx="5">
                  <c:v>Cameras</c:v>
                </c:pt>
              </c:strCache>
            </c:strRef>
          </c:cat>
          <c:val>
            <c:numRef>
              <c:f>'Pivot Analysis'!$B$120:$B$125</c:f>
              <c:numCache>
                <c:formatCode>"Rs. "#,##0</c:formatCode>
                <c:ptCount val="6"/>
                <c:pt idx="0">
                  <c:v>29487.76605</c:v>
                </c:pt>
                <c:pt idx="1">
                  <c:v>8297.4114</c:v>
                </c:pt>
                <c:pt idx="2">
                  <c:v>77405.56588</c:v>
                </c:pt>
                <c:pt idx="3">
                  <c:v>66608.584185</c:v>
                </c:pt>
                <c:pt idx="4">
                  <c:v>55109.348595</c:v>
                </c:pt>
                <c:pt idx="5">
                  <c:v>54994.7934375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Order Status Distribution</a:t>
            </a:r>
          </a:p>
        </c:rich>
      </c:tx>
      <c:overlay val="0"/>
      <c:spPr>
        <a:noFill/>
        <a:ln w="0">
          <a:noFill/>
        </a:ln>
      </c:spPr>
    </c:title>
    <c:autoTitleDeleted val="0"/>
    <c:plotArea>
      <c:pieChart>
        <c:varyColors val="1"/>
        <c:ser>
          <c:idx val="0"/>
          <c:order val="0"/>
          <c:tx>
            <c:strRef>
              <c:f>'Pivot Analysis'!B71</c:f>
              <c:strCache>
                <c:ptCount val="1"/>
                <c:pt idx="0">
                  <c:v>Total Orders</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'Pivot Analysis'!$A$72:$A$75</c:f>
              <c:strCache>
                <c:ptCount val="4"/>
                <c:pt idx="0">
                  <c:v>Cancelled</c:v>
                </c:pt>
                <c:pt idx="1">
                  <c:v>Delivered</c:v>
                </c:pt>
                <c:pt idx="2">
                  <c:v>Pending</c:v>
                </c:pt>
                <c:pt idx="3">
                  <c:v>Returned</c:v>
                </c:pt>
              </c:strCache>
            </c:strRef>
          </c:cat>
          <c:val>
            <c:numRef>
              <c:f>'Pivot Analysis'!$B$72:$B$75</c:f>
              <c:numCache>
                <c:formatCode>General</c:formatCode>
                <c:ptCount val="4"/>
                <c:pt idx="0">
                  <c:v>42</c:v>
                </c:pt>
                <c:pt idx="1">
                  <c:v>456</c:v>
                </c:pt>
                <c:pt idx="2">
                  <c:v>28</c:v>
                </c:pt>
                <c:pt idx="3">
                  <c:v>34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100800</xdr:rowOff>
    </xdr:from>
    <xdr:to>
      <xdr:col>4</xdr:col>
      <xdr:colOff>630360</xdr:colOff>
      <xdr:row>21</xdr:row>
      <xdr:rowOff>25560</xdr:rowOff>
    </xdr:to>
    <xdr:graphicFrame>
      <xdr:nvGraphicFramePr>
        <xdr:cNvPr id="0" name="Chart 1"/>
        <xdr:cNvGraphicFramePr/>
      </xdr:nvGraphicFramePr>
      <xdr:xfrm>
        <a:off x="0" y="1809720"/>
        <a:ext cx="485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7</xdr:row>
      <xdr:rowOff>100800</xdr:rowOff>
    </xdr:from>
    <xdr:to>
      <xdr:col>10</xdr:col>
      <xdr:colOff>630360</xdr:colOff>
      <xdr:row>21</xdr:row>
      <xdr:rowOff>25560</xdr:rowOff>
    </xdr:to>
    <xdr:graphicFrame>
      <xdr:nvGraphicFramePr>
        <xdr:cNvPr id="1" name="Chart 2"/>
        <xdr:cNvGraphicFramePr/>
      </xdr:nvGraphicFramePr>
      <xdr:xfrm>
        <a:off x="6343560" y="1809720"/>
        <a:ext cx="485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7</xdr:row>
      <xdr:rowOff>100800</xdr:rowOff>
    </xdr:from>
    <xdr:to>
      <xdr:col>16</xdr:col>
      <xdr:colOff>630720</xdr:colOff>
      <xdr:row>21</xdr:row>
      <xdr:rowOff>25560</xdr:rowOff>
    </xdr:to>
    <xdr:graphicFrame>
      <xdr:nvGraphicFramePr>
        <xdr:cNvPr id="2" name="Chart 3"/>
        <xdr:cNvGraphicFramePr/>
      </xdr:nvGraphicFramePr>
      <xdr:xfrm>
        <a:off x="12687480" y="1809720"/>
        <a:ext cx="4859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101160</xdr:rowOff>
    </xdr:from>
    <xdr:to>
      <xdr:col>4</xdr:col>
      <xdr:colOff>630360</xdr:colOff>
      <xdr:row>36</xdr:row>
      <xdr:rowOff>25920</xdr:rowOff>
    </xdr:to>
    <xdr:graphicFrame>
      <xdr:nvGraphicFramePr>
        <xdr:cNvPr id="3" name="Chart 4"/>
        <xdr:cNvGraphicFramePr/>
      </xdr:nvGraphicFramePr>
      <xdr:xfrm>
        <a:off x="0" y="4667400"/>
        <a:ext cx="4859640" cy="259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22</xdr:row>
      <xdr:rowOff>101160</xdr:rowOff>
    </xdr:from>
    <xdr:to>
      <xdr:col>10</xdr:col>
      <xdr:colOff>630360</xdr:colOff>
      <xdr:row>36</xdr:row>
      <xdr:rowOff>25920</xdr:rowOff>
    </xdr:to>
    <xdr:graphicFrame>
      <xdr:nvGraphicFramePr>
        <xdr:cNvPr id="4" name="Chart 5"/>
        <xdr:cNvGraphicFramePr/>
      </xdr:nvGraphicFramePr>
      <xdr:xfrm>
        <a:off x="6343560" y="4667400"/>
        <a:ext cx="4859640" cy="259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22</xdr:row>
      <xdr:rowOff>101160</xdr:rowOff>
    </xdr:from>
    <xdr:to>
      <xdr:col>16</xdr:col>
      <xdr:colOff>630720</xdr:colOff>
      <xdr:row>36</xdr:row>
      <xdr:rowOff>25920</xdr:rowOff>
    </xdr:to>
    <xdr:graphicFrame>
      <xdr:nvGraphicFramePr>
        <xdr:cNvPr id="5" name="Chart 6"/>
        <xdr:cNvGraphicFramePr/>
      </xdr:nvGraphicFramePr>
      <xdr:xfrm>
        <a:off x="12687480" y="4667400"/>
        <a:ext cx="4859640" cy="259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37</xdr:row>
      <xdr:rowOff>100800</xdr:rowOff>
    </xdr:from>
    <xdr:to>
      <xdr:col>4</xdr:col>
      <xdr:colOff>630360</xdr:colOff>
      <xdr:row>51</xdr:row>
      <xdr:rowOff>25560</xdr:rowOff>
    </xdr:to>
    <xdr:graphicFrame>
      <xdr:nvGraphicFramePr>
        <xdr:cNvPr id="6" name="Chart 7"/>
        <xdr:cNvGraphicFramePr/>
      </xdr:nvGraphicFramePr>
      <xdr:xfrm>
        <a:off x="0" y="7524720"/>
        <a:ext cx="4859640" cy="259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0</xdr:colOff>
      <xdr:row>37</xdr:row>
      <xdr:rowOff>100800</xdr:rowOff>
    </xdr:from>
    <xdr:to>
      <xdr:col>10</xdr:col>
      <xdr:colOff>630360</xdr:colOff>
      <xdr:row>51</xdr:row>
      <xdr:rowOff>25560</xdr:rowOff>
    </xdr:to>
    <xdr:graphicFrame>
      <xdr:nvGraphicFramePr>
        <xdr:cNvPr id="7" name="Chart 8"/>
        <xdr:cNvGraphicFramePr/>
      </xdr:nvGraphicFramePr>
      <xdr:xfrm>
        <a:off x="6343560" y="7524720"/>
        <a:ext cx="4859640" cy="259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id="1" name="RawDataTable" displayName="RawDataTable" ref="A1:S561" headerRowCount="1" totalsRowCount="0" totalsRowShown="0">
  <autoFilter ref="A1:S561"/>
  <tableColumns count="19">
    <tableColumn id="1" name="Order ID"/>
    <tableColumn id="2" name="Order Date"/>
    <tableColumn id="3" name="Customer ID"/>
    <tableColumn id="4" name="Customer Name"/>
    <tableColumn id="5" name="Region"/>
    <tableColumn id="6" name="City"/>
    <tableColumn id="7" name="Salesperson"/>
    <tableColumn id="8" name="Product"/>
    <tableColumn id="9" name="Category"/>
    <tableColumn id="10" name="Quantity"/>
    <tableColumn id="11" name="Unit Price"/>
    <tableColumn id="12" name="Discount %"/>
    <tableColumn id="13" name="Revenue"/>
    <tableColumn id="14" name="COGS"/>
    <tableColumn id="15" name="Gross Profit"/>
    <tableColumn id="16" name="Operating Expense"/>
    <tableColumn id="17" name="Net Profit"/>
    <tableColumn id="18" name="Payment Method"/>
    <tableColumn id="19" name="Order 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0"/>
    <col collapsed="false" customWidth="true" hidden="false" outlineLevel="0" max="4" min="4" style="0" width="3"/>
  </cols>
  <sheetData>
    <row r="2" customFormat="false" ht="15.75" hidden="false" customHeight="true" outlineLevel="0" collapsed="false">
      <c r="B2" s="1" t="s">
        <v>0</v>
      </c>
    </row>
    <row r="3" customFormat="false" ht="15.75" hidden="false" customHeight="true" outlineLevel="0" collapsed="false">
      <c r="B3" s="2" t="s">
        <v>1</v>
      </c>
    </row>
    <row r="4" customFormat="false" ht="15.75" hidden="false" customHeight="true" outlineLevel="0" collapsed="false"/>
    <row r="5" customFormat="false" ht="15.75" hidden="false" customHeight="true" outlineLevel="0" collapsed="false">
      <c r="B5" s="3" t="s">
        <v>2</v>
      </c>
      <c r="C5" s="3"/>
    </row>
    <row r="6" customFormat="false" ht="15.75" hidden="false" customHeight="true" outlineLevel="0" collapsed="false">
      <c r="B6" s="4" t="s">
        <v>3</v>
      </c>
    </row>
    <row r="7" customFormat="false" ht="15.75" hidden="false" customHeight="true" outlineLevel="0" collapsed="false"/>
    <row r="8" customFormat="false" ht="15.75" hidden="false" customHeight="true" outlineLevel="0" collapsed="false">
      <c r="B8" s="3" t="s">
        <v>4</v>
      </c>
      <c r="C8" s="3"/>
    </row>
    <row r="9" customFormat="false" ht="15.75" hidden="false" customHeight="true" outlineLevel="0" collapsed="false">
      <c r="B9" s="4" t="s">
        <v>5</v>
      </c>
    </row>
    <row r="10" customFormat="false" ht="15.75" hidden="false" customHeight="true" outlineLevel="0" collapsed="false"/>
    <row r="11" customFormat="false" ht="15.75" hidden="false" customHeight="true" outlineLevel="0" collapsed="false">
      <c r="B11" s="3" t="s">
        <v>6</v>
      </c>
      <c r="C11" s="3"/>
    </row>
    <row r="12" customFormat="false" ht="15.75" hidden="false" customHeight="true" outlineLevel="0" collapsed="false">
      <c r="B12" s="4" t="s">
        <v>7</v>
      </c>
    </row>
    <row r="13" customFormat="false" ht="15.75" hidden="false" customHeight="true" outlineLevel="0" collapsed="false"/>
    <row r="14" customFormat="false" ht="15.75" hidden="false" customHeight="true" outlineLevel="0" collapsed="false">
      <c r="B14" s="3" t="s">
        <v>8</v>
      </c>
      <c r="C14" s="3"/>
    </row>
    <row r="15" customFormat="false" ht="15.75" hidden="false" customHeight="true" outlineLevel="0" collapsed="false">
      <c r="B15" s="4" t="s">
        <v>9</v>
      </c>
    </row>
    <row r="16" customFormat="false" ht="15.75" hidden="false" customHeight="true" outlineLevel="0" collapsed="false"/>
    <row r="17" customFormat="false" ht="15.75" hidden="false" customHeight="true" outlineLevel="0" collapsed="false">
      <c r="B17" s="3" t="s">
        <v>10</v>
      </c>
      <c r="C17" s="3"/>
    </row>
    <row r="18" customFormat="false" ht="15.75" hidden="false" customHeight="true" outlineLevel="0" collapsed="false">
      <c r="B18" s="4" t="s">
        <v>11</v>
      </c>
    </row>
    <row r="19" customFormat="false" ht="15.75" hidden="false" customHeight="true" outlineLevel="0" collapsed="false"/>
    <row r="20" customFormat="false" ht="15.75" hidden="false" customHeight="true" outlineLevel="0" collapsed="false">
      <c r="B20" s="3" t="s">
        <v>12</v>
      </c>
      <c r="C20" s="3"/>
    </row>
    <row r="21" customFormat="false" ht="15.75" hidden="false" customHeight="true" outlineLevel="0" collapsed="false">
      <c r="B21" s="4" t="s">
        <v>13</v>
      </c>
    </row>
    <row r="22" customFormat="false" ht="15.75" hidden="false" customHeight="true" outlineLevel="0" collapsed="false"/>
    <row r="23" customFormat="false" ht="15.75" hidden="false" customHeight="true" outlineLevel="0" collapsed="false">
      <c r="B23" s="3" t="s">
        <v>14</v>
      </c>
      <c r="C23" s="3"/>
    </row>
    <row r="24" customFormat="false" ht="15.75" hidden="false" customHeight="true" outlineLevel="0" collapsed="false">
      <c r="B24" s="4" t="s">
        <v>15</v>
      </c>
    </row>
    <row r="25" customFormat="false" ht="15.75" hidden="false" customHeight="true" outlineLevel="0" collapsed="false"/>
    <row r="26" customFormat="false" ht="15.75" hidden="false" customHeight="true" outlineLevel="0" collapsed="false">
      <c r="B26" s="3" t="s">
        <v>16</v>
      </c>
      <c r="C26" s="3"/>
    </row>
    <row r="27" customFormat="false" ht="15.75" hidden="false" customHeight="true" outlineLevel="0" collapsed="false">
      <c r="B27" s="4" t="s">
        <v>17</v>
      </c>
    </row>
    <row r="28" customFormat="false" ht="15.75" hidden="false" customHeight="true" outlineLevel="0" collapsed="false"/>
    <row r="29" customFormat="false" ht="15.75" hidden="false" customHeight="true" outlineLevel="0" collapsed="false">
      <c r="B29" s="3" t="s">
        <v>18</v>
      </c>
      <c r="C29" s="3"/>
    </row>
    <row r="30" customFormat="false" ht="15.75" hidden="false" customHeight="true" outlineLevel="0" collapsed="false">
      <c r="B30" s="4" t="s">
        <v>19</v>
      </c>
    </row>
    <row r="31" customFormat="false" ht="15.75" hidden="false" customHeight="true" outlineLevel="0" collapsed="false"/>
    <row r="32" customFormat="false" ht="15.75" hidden="false" customHeight="true" outlineLevel="0" collapsed="false">
      <c r="B32" s="3" t="s">
        <v>20</v>
      </c>
      <c r="C32" s="3"/>
    </row>
    <row r="33" customFormat="false" ht="15.75" hidden="false" customHeight="true" outlineLevel="0" collapsed="false">
      <c r="B33" s="4" t="s">
        <v>21</v>
      </c>
    </row>
    <row r="34" customFormat="false" ht="15.75" hidden="false" customHeight="true" outlineLevel="0" collapsed="false"/>
    <row r="35" customFormat="false" ht="15.75" hidden="false" customHeight="true" outlineLevel="0" collapsed="false">
      <c r="B35" s="3" t="s">
        <v>22</v>
      </c>
      <c r="C35" s="3"/>
    </row>
    <row r="36" customFormat="false" ht="15.75" hidden="false" customHeight="true" outlineLevel="0" collapsed="false">
      <c r="B36" s="4" t="s">
        <v>23</v>
      </c>
    </row>
    <row r="37" customFormat="false" ht="15.75" hidden="false" customHeight="true" outlineLevel="0" collapsed="false">
      <c r="B37" s="4" t="s">
        <v>24</v>
      </c>
    </row>
    <row r="38" customFormat="false" ht="15.75" hidden="false" customHeight="true" outlineLevel="0" collapsed="false">
      <c r="B38" s="4" t="s">
        <v>25</v>
      </c>
    </row>
    <row r="39" customFormat="false" ht="15.75" hidden="false" customHeight="true" outlineLevel="0" collapsed="false">
      <c r="B39" s="4" t="s">
        <v>26</v>
      </c>
    </row>
    <row r="40" customFormat="false" ht="15.75" hidden="false" customHeight="true" outlineLevel="0" collapsed="false"/>
    <row r="41" customFormat="false" ht="15.75" hidden="false" customHeight="true" outlineLevel="0" collapsed="false">
      <c r="B41" s="3" t="s">
        <v>27</v>
      </c>
      <c r="C41" s="3"/>
    </row>
    <row r="42" customFormat="false" ht="15" hidden="false" customHeight="true" outlineLevel="0" collapsed="false">
      <c r="B42" s="5" t="s">
        <v>28</v>
      </c>
      <c r="C42" s="6" t="s">
        <v>29</v>
      </c>
    </row>
    <row r="43" customFormat="false" ht="15" hidden="false" customHeight="true" outlineLevel="0" collapsed="false">
      <c r="B43" s="5" t="s">
        <v>30</v>
      </c>
      <c r="C43" s="6" t="s">
        <v>31</v>
      </c>
    </row>
    <row r="44" customFormat="false" ht="15" hidden="false" customHeight="true" outlineLevel="0" collapsed="false">
      <c r="B44" s="5" t="s">
        <v>32</v>
      </c>
      <c r="C44" s="6" t="s">
        <v>33</v>
      </c>
    </row>
    <row r="45" customFormat="false" ht="15" hidden="false" customHeight="true" outlineLevel="0" collapsed="false">
      <c r="B45" s="5" t="s">
        <v>34</v>
      </c>
      <c r="C45" s="6" t="s">
        <v>35</v>
      </c>
    </row>
    <row r="46" customFormat="false" ht="15" hidden="false" customHeight="true" outlineLevel="0" collapsed="false">
      <c r="B46" s="5" t="s">
        <v>36</v>
      </c>
      <c r="C46" s="6" t="s">
        <v>37</v>
      </c>
    </row>
    <row r="47" customFormat="false" ht="15" hidden="false" customHeight="true" outlineLevel="0" collapsed="false">
      <c r="B47" s="5" t="s">
        <v>38</v>
      </c>
      <c r="C47" s="6" t="s">
        <v>39</v>
      </c>
    </row>
    <row r="48" customFormat="false" ht="15" hidden="false" customHeight="true" outlineLevel="0" collapsed="false">
      <c r="B48" s="5" t="s">
        <v>40</v>
      </c>
      <c r="C48" s="6" t="s">
        <v>41</v>
      </c>
    </row>
  </sheetData>
  <mergeCells count="12">
    <mergeCell ref="B5:C5"/>
    <mergeCell ref="B8:C8"/>
    <mergeCell ref="B11:C11"/>
    <mergeCell ref="B14:C14"/>
    <mergeCell ref="B17:C17"/>
    <mergeCell ref="B20:C20"/>
    <mergeCell ref="B23:C23"/>
    <mergeCell ref="B26:C26"/>
    <mergeCell ref="B29:C29"/>
    <mergeCell ref="B32:C32"/>
    <mergeCell ref="B35:C35"/>
    <mergeCell ref="B41: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4"/>
    <col collapsed="false" customWidth="true" hidden="false" outlineLevel="0" max="4" min="4" style="0" width="3"/>
    <col collapsed="false" customWidth="true" hidden="false" outlineLevel="0" max="5" min="5" style="0" width="22"/>
    <col collapsed="false" customWidth="true" hidden="false" outlineLevel="0" max="6" min="6" style="0" width="12"/>
    <col collapsed="false" customWidth="true" hidden="false" outlineLevel="0" max="7" min="7" style="0" width="3"/>
    <col collapsed="false" customWidth="true" hidden="false" outlineLevel="0" max="8" min="8" style="0" width="14"/>
    <col collapsed="false" customWidth="true" hidden="false" outlineLevel="0" max="13" min="9" style="0" width="16"/>
    <col collapsed="false" customWidth="true" hidden="false" outlineLevel="0" max="15" min="14" style="0" width="14"/>
  </cols>
  <sheetData>
    <row r="1" customFormat="false" ht="19.7" hidden="false" customHeight="false" outlineLevel="0" collapsed="false">
      <c r="A1" s="1" t="s">
        <v>42</v>
      </c>
    </row>
    <row r="2" customFormat="false" ht="15" hidden="false" customHeight="false" outlineLevel="0" collapsed="false">
      <c r="A2" s="2" t="s">
        <v>43</v>
      </c>
    </row>
    <row r="4" customFormat="false" ht="15" hidden="false" customHeight="false" outlineLevel="0" collapsed="false">
      <c r="A4" s="3" t="s">
        <v>44</v>
      </c>
      <c r="B4" s="3"/>
      <c r="C4" s="3"/>
      <c r="E4" s="3" t="s">
        <v>45</v>
      </c>
      <c r="F4" s="3"/>
    </row>
    <row r="5" customFormat="false" ht="26.85" hidden="false" customHeight="false" outlineLevel="0" collapsed="false">
      <c r="A5" s="7" t="s">
        <v>46</v>
      </c>
      <c r="B5" s="7" t="s">
        <v>47</v>
      </c>
      <c r="C5" s="7" t="s">
        <v>48</v>
      </c>
      <c r="E5" s="7" t="s">
        <v>47</v>
      </c>
      <c r="F5" s="7" t="s">
        <v>49</v>
      </c>
    </row>
    <row r="6" customFormat="false" ht="15" hidden="false" customHeight="false" outlineLevel="0" collapsed="false">
      <c r="A6" s="8" t="s">
        <v>50</v>
      </c>
      <c r="B6" s="8" t="s">
        <v>51</v>
      </c>
      <c r="C6" s="9" t="n">
        <v>650</v>
      </c>
      <c r="E6" s="8" t="s">
        <v>51</v>
      </c>
      <c r="F6" s="10" t="n">
        <v>0.1</v>
      </c>
    </row>
    <row r="7" customFormat="false" ht="15" hidden="false" customHeight="false" outlineLevel="0" collapsed="false">
      <c r="A7" s="8" t="s">
        <v>52</v>
      </c>
      <c r="B7" s="8" t="s">
        <v>51</v>
      </c>
      <c r="C7" s="9" t="n">
        <v>900</v>
      </c>
      <c r="E7" s="8" t="s">
        <v>53</v>
      </c>
      <c r="F7" s="10" t="n">
        <v>0.12</v>
      </c>
    </row>
    <row r="8" customFormat="false" ht="15" hidden="false" customHeight="false" outlineLevel="0" collapsed="false">
      <c r="A8" s="8" t="s">
        <v>54</v>
      </c>
      <c r="B8" s="8" t="s">
        <v>51</v>
      </c>
      <c r="C8" s="9" t="n">
        <v>1400</v>
      </c>
      <c r="E8" s="8" t="s">
        <v>55</v>
      </c>
      <c r="F8" s="10" t="n">
        <v>0.08</v>
      </c>
    </row>
    <row r="9" customFormat="false" ht="15" hidden="false" customHeight="false" outlineLevel="0" collapsed="false">
      <c r="A9" s="8" t="s">
        <v>56</v>
      </c>
      <c r="B9" s="8" t="s">
        <v>51</v>
      </c>
      <c r="C9" s="9" t="n">
        <v>450</v>
      </c>
      <c r="E9" s="8" t="s">
        <v>57</v>
      </c>
      <c r="F9" s="10" t="n">
        <v>0.11</v>
      </c>
    </row>
    <row r="10" customFormat="false" ht="15" hidden="false" customHeight="false" outlineLevel="0" collapsed="false">
      <c r="A10" s="8" t="s">
        <v>58</v>
      </c>
      <c r="B10" s="8" t="s">
        <v>53</v>
      </c>
      <c r="C10" s="9" t="n">
        <v>220</v>
      </c>
      <c r="E10" s="8" t="s">
        <v>59</v>
      </c>
      <c r="F10" s="10" t="n">
        <v>0.09</v>
      </c>
    </row>
    <row r="11" customFormat="false" ht="15" hidden="false" customHeight="false" outlineLevel="0" collapsed="false">
      <c r="A11" s="8" t="s">
        <v>60</v>
      </c>
      <c r="B11" s="8" t="s">
        <v>53</v>
      </c>
      <c r="C11" s="9" t="n">
        <v>90</v>
      </c>
      <c r="E11" s="8" t="s">
        <v>61</v>
      </c>
      <c r="F11" s="10" t="n">
        <v>0.075</v>
      </c>
    </row>
    <row r="12" customFormat="false" ht="15" hidden="false" customHeight="false" outlineLevel="0" collapsed="false">
      <c r="A12" s="8" t="s">
        <v>62</v>
      </c>
      <c r="B12" s="8" t="s">
        <v>53</v>
      </c>
      <c r="C12" s="9" t="n">
        <v>130</v>
      </c>
    </row>
    <row r="13" customFormat="false" ht="15" hidden="false" customHeight="false" outlineLevel="0" collapsed="false">
      <c r="A13" s="8" t="s">
        <v>63</v>
      </c>
      <c r="B13" s="8" t="s">
        <v>53</v>
      </c>
      <c r="C13" s="9" t="n">
        <v>150</v>
      </c>
    </row>
    <row r="14" customFormat="false" ht="15" hidden="false" customHeight="false" outlineLevel="0" collapsed="false">
      <c r="A14" s="8" t="s">
        <v>64</v>
      </c>
      <c r="B14" s="8" t="s">
        <v>55</v>
      </c>
      <c r="C14" s="9" t="n">
        <v>350</v>
      </c>
    </row>
    <row r="15" customFormat="false" ht="15" hidden="false" customHeight="false" outlineLevel="0" collapsed="false">
      <c r="A15" s="8" t="s">
        <v>65</v>
      </c>
      <c r="B15" s="8" t="s">
        <v>55</v>
      </c>
      <c r="C15" s="9" t="n">
        <v>1600</v>
      </c>
    </row>
    <row r="16" customFormat="false" ht="15" hidden="false" customHeight="false" outlineLevel="0" collapsed="false">
      <c r="A16" s="8" t="s">
        <v>66</v>
      </c>
      <c r="B16" s="8" t="s">
        <v>55</v>
      </c>
      <c r="C16" s="9" t="n">
        <v>7200</v>
      </c>
    </row>
    <row r="17" customFormat="false" ht="15" hidden="false" customHeight="false" outlineLevel="0" collapsed="false">
      <c r="A17" s="8" t="s">
        <v>67</v>
      </c>
      <c r="B17" s="8" t="s">
        <v>55</v>
      </c>
      <c r="C17" s="9" t="n">
        <v>900</v>
      </c>
    </row>
    <row r="18" customFormat="false" ht="15" hidden="false" customHeight="false" outlineLevel="0" collapsed="false">
      <c r="A18" s="8" t="s">
        <v>68</v>
      </c>
      <c r="B18" s="8" t="s">
        <v>55</v>
      </c>
      <c r="C18" s="9" t="n">
        <v>500</v>
      </c>
    </row>
    <row r="19" customFormat="false" ht="15" hidden="false" customHeight="false" outlineLevel="0" collapsed="false">
      <c r="A19" s="8" t="s">
        <v>69</v>
      </c>
      <c r="B19" s="8" t="s">
        <v>57</v>
      </c>
      <c r="C19" s="9" t="n">
        <v>350</v>
      </c>
    </row>
    <row r="20" customFormat="false" ht="15" hidden="false" customHeight="false" outlineLevel="0" collapsed="false">
      <c r="A20" s="8" t="s">
        <v>70</v>
      </c>
      <c r="B20" s="8" t="s">
        <v>57</v>
      </c>
      <c r="C20" s="9" t="n">
        <v>2200</v>
      </c>
    </row>
    <row r="21" customFormat="false" ht="15" hidden="false" customHeight="false" outlineLevel="0" collapsed="false">
      <c r="A21" s="8" t="s">
        <v>71</v>
      </c>
      <c r="B21" s="8" t="s">
        <v>57</v>
      </c>
      <c r="C21" s="9" t="n">
        <v>450</v>
      </c>
    </row>
    <row r="22" customFormat="false" ht="15" hidden="false" customHeight="false" outlineLevel="0" collapsed="false">
      <c r="A22" s="8" t="s">
        <v>72</v>
      </c>
      <c r="B22" s="8" t="s">
        <v>57</v>
      </c>
      <c r="C22" s="9" t="n">
        <v>2600</v>
      </c>
    </row>
    <row r="23" customFormat="false" ht="15" hidden="false" customHeight="false" outlineLevel="0" collapsed="false">
      <c r="A23" s="8" t="s">
        <v>73</v>
      </c>
      <c r="B23" s="8" t="s">
        <v>59</v>
      </c>
      <c r="C23" s="9" t="n">
        <v>1100</v>
      </c>
    </row>
    <row r="24" customFormat="false" ht="15" hidden="false" customHeight="false" outlineLevel="0" collapsed="false">
      <c r="A24" s="8" t="s">
        <v>74</v>
      </c>
      <c r="B24" s="8" t="s">
        <v>59</v>
      </c>
      <c r="C24" s="9" t="n">
        <v>3800</v>
      </c>
    </row>
    <row r="25" customFormat="false" ht="15" hidden="false" customHeight="false" outlineLevel="0" collapsed="false">
      <c r="A25" s="8" t="s">
        <v>75</v>
      </c>
      <c r="B25" s="8" t="s">
        <v>59</v>
      </c>
      <c r="C25" s="9" t="n">
        <v>1900</v>
      </c>
    </row>
    <row r="26" customFormat="false" ht="15" hidden="false" customHeight="false" outlineLevel="0" collapsed="false">
      <c r="A26" s="8" t="s">
        <v>76</v>
      </c>
      <c r="B26" s="8" t="s">
        <v>61</v>
      </c>
      <c r="C26" s="9" t="n">
        <v>4200</v>
      </c>
    </row>
    <row r="27" customFormat="false" ht="15" hidden="false" customHeight="false" outlineLevel="0" collapsed="false">
      <c r="A27" s="8" t="s">
        <v>77</v>
      </c>
      <c r="B27" s="8" t="s">
        <v>61</v>
      </c>
      <c r="C27" s="9" t="n">
        <v>3100</v>
      </c>
    </row>
    <row r="30" customFormat="false" ht="15" hidden="false" customHeight="false" outlineLevel="0" collapsed="false">
      <c r="A30" s="3" t="s">
        <v>78</v>
      </c>
      <c r="B30" s="3"/>
      <c r="C30" s="3"/>
      <c r="D30" s="3"/>
      <c r="E30" s="3"/>
      <c r="F30" s="3"/>
      <c r="G30" s="3"/>
      <c r="H30" s="3"/>
      <c r="I30" s="3"/>
    </row>
    <row r="31" customFormat="false" ht="128.35" hidden="false" customHeight="false" outlineLevel="0" collapsed="false">
      <c r="A31" s="7" t="s">
        <v>79</v>
      </c>
      <c r="B31" s="7" t="s">
        <v>80</v>
      </c>
      <c r="C31" s="7" t="s">
        <v>81</v>
      </c>
      <c r="D31" s="7" t="s">
        <v>82</v>
      </c>
      <c r="E31" s="7" t="s">
        <v>83</v>
      </c>
      <c r="F31" s="7" t="s">
        <v>84</v>
      </c>
      <c r="G31" s="7" t="s">
        <v>85</v>
      </c>
      <c r="H31" s="7" t="s">
        <v>86</v>
      </c>
      <c r="I31" s="7" t="s">
        <v>87</v>
      </c>
    </row>
    <row r="32" customFormat="false" ht="15" hidden="false" customHeight="false" outlineLevel="0" collapsed="false">
      <c r="A32" s="8" t="s">
        <v>88</v>
      </c>
      <c r="B32" s="11" t="n">
        <v>45870</v>
      </c>
      <c r="C32" s="11" t="n">
        <v>45901</v>
      </c>
      <c r="D32" s="9" t="n">
        <f aca="false">SUMIFS('Raw Data'!$M$2:$M$561,'Raw Data'!$B$2:$B$561,"&gt;="&amp;B32,'Raw Data'!$B$2:$B$561,"&lt;"&amp;C32,'Raw Data'!$S$2:$S$561,"&lt;&gt;Cancelled",'Raw Data'!$S$2:$S$561,"&lt;&gt;Returned")</f>
        <v>308354.9085</v>
      </c>
      <c r="E32" s="9" t="n">
        <f aca="false">SUMIFS('Raw Data'!$N$2:$N$561,'Raw Data'!$B$2:$B$561,"&gt;="&amp;B32,'Raw Data'!$B$2:$B$561,"&lt;"&amp;C32,'Raw Data'!$S$2:$S$561,"&lt;&gt;Cancelled",'Raw Data'!$S$2:$S$561,"&lt;&gt;Returned")</f>
        <v>175480</v>
      </c>
      <c r="F32" s="9" t="n">
        <f aca="false">D32-E32</f>
        <v>132874.9085</v>
      </c>
      <c r="G32" s="9" t="n">
        <f aca="false">SUMIFS('Raw Data'!$P$2:$P$561,'Raw Data'!$B$2:$B$561,"&gt;="&amp;B32,'Raw Data'!$B$2:$B$561,"&lt;"&amp;C32,'Raw Data'!$S$2:$S$561,"&lt;&gt;Cancelled",'Raw Data'!$S$2:$S$561,"&lt;&gt;Returned")</f>
        <v>26668.55997</v>
      </c>
      <c r="H32" s="9" t="n">
        <f aca="false">F32-G32</f>
        <v>106206.34853</v>
      </c>
      <c r="I32" s="8" t="n">
        <f aca="false">COUNTIFS('Raw Data'!$B$2:$B$561,"&gt;="&amp;B32,'Raw Data'!$B$2:$B$561,"&lt;"&amp;C32,'Raw Data'!$S$2:$S$561,"&lt;&gt;Cancelled",'Raw Data'!$S$2:$S$561,"&lt;&gt;Returned")</f>
        <v>37</v>
      </c>
    </row>
    <row r="33" customFormat="false" ht="15" hidden="false" customHeight="false" outlineLevel="0" collapsed="false">
      <c r="A33" s="8" t="s">
        <v>89</v>
      </c>
      <c r="B33" s="11" t="n">
        <v>45901</v>
      </c>
      <c r="C33" s="11" t="n">
        <v>45931</v>
      </c>
      <c r="D33" s="9" t="n">
        <f aca="false">SUMIFS('Raw Data'!$M$2:$M$561,'Raw Data'!$B$2:$B$561,"&gt;="&amp;B33,'Raw Data'!$B$2:$B$561,"&lt;"&amp;C33,'Raw Data'!$S$2:$S$561,"&lt;&gt;Cancelled",'Raw Data'!$S$2:$S$561,"&lt;&gt;Returned")</f>
        <v>240271.288</v>
      </c>
      <c r="E33" s="9" t="n">
        <f aca="false">SUMIFS('Raw Data'!$N$2:$N$561,'Raw Data'!$B$2:$B$561,"&gt;="&amp;B33,'Raw Data'!$B$2:$B$561,"&lt;"&amp;C33,'Raw Data'!$S$2:$S$561,"&lt;&gt;Cancelled",'Raw Data'!$S$2:$S$561,"&lt;&gt;Returned")</f>
        <v>141160</v>
      </c>
      <c r="F33" s="9" t="n">
        <f aca="false">D33-E33</f>
        <v>99111.288</v>
      </c>
      <c r="G33" s="9" t="n">
        <f aca="false">SUMIFS('Raw Data'!$P$2:$P$561,'Raw Data'!$B$2:$B$561,"&gt;="&amp;B33,'Raw Data'!$B$2:$B$561,"&lt;"&amp;C33,'Raw Data'!$S$2:$S$561,"&lt;&gt;Cancelled",'Raw Data'!$S$2:$S$561,"&lt;&gt;Returned")</f>
        <v>21229.209715</v>
      </c>
      <c r="H33" s="9" t="n">
        <f aca="false">F33-G33</f>
        <v>77882.078285</v>
      </c>
      <c r="I33" s="8" t="n">
        <f aca="false">COUNTIFS('Raw Data'!$B$2:$B$561,"&gt;="&amp;B33,'Raw Data'!$B$2:$B$561,"&lt;"&amp;C33,'Raw Data'!$S$2:$S$561,"&lt;&gt;Cancelled",'Raw Data'!$S$2:$S$561,"&lt;&gt;Returned")</f>
        <v>38</v>
      </c>
    </row>
    <row r="34" customFormat="false" ht="15" hidden="false" customHeight="false" outlineLevel="0" collapsed="false">
      <c r="A34" s="8" t="s">
        <v>90</v>
      </c>
      <c r="B34" s="11" t="n">
        <v>45931</v>
      </c>
      <c r="C34" s="11" t="n">
        <v>45962</v>
      </c>
      <c r="D34" s="9" t="n">
        <f aca="false">SUMIFS('Raw Data'!$M$2:$M$561,'Raw Data'!$B$2:$B$561,"&gt;="&amp;B34,'Raw Data'!$B$2:$B$561,"&lt;"&amp;C34,'Raw Data'!$S$2:$S$561,"&lt;&gt;Cancelled",'Raw Data'!$S$2:$S$561,"&lt;&gt;Returned")</f>
        <v>285740.4875</v>
      </c>
      <c r="E34" s="9" t="n">
        <f aca="false">SUMIFS('Raw Data'!$N$2:$N$561,'Raw Data'!$B$2:$B$561,"&gt;="&amp;B34,'Raw Data'!$B$2:$B$561,"&lt;"&amp;C34,'Raw Data'!$S$2:$S$561,"&lt;&gt;Cancelled",'Raw Data'!$S$2:$S$561,"&lt;&gt;Returned")</f>
        <v>166830</v>
      </c>
      <c r="F34" s="9" t="n">
        <f aca="false">D34-E34</f>
        <v>118910.4875</v>
      </c>
      <c r="G34" s="9" t="n">
        <f aca="false">SUMIFS('Raw Data'!$P$2:$P$561,'Raw Data'!$B$2:$B$561,"&gt;="&amp;B34,'Raw Data'!$B$2:$B$561,"&lt;"&amp;C34,'Raw Data'!$S$2:$S$561,"&lt;&gt;Cancelled",'Raw Data'!$S$2:$S$561,"&lt;&gt;Returned")</f>
        <v>25782.14642</v>
      </c>
      <c r="H34" s="9" t="n">
        <f aca="false">F34-G34</f>
        <v>93128.34108</v>
      </c>
      <c r="I34" s="8" t="n">
        <f aca="false">COUNTIFS('Raw Data'!$B$2:$B$561,"&gt;="&amp;B34,'Raw Data'!$B$2:$B$561,"&lt;"&amp;C34,'Raw Data'!$S$2:$S$561,"&lt;&gt;Cancelled",'Raw Data'!$S$2:$S$561,"&lt;&gt;Returned")</f>
        <v>46</v>
      </c>
    </row>
    <row r="35" customFormat="false" ht="15" hidden="false" customHeight="false" outlineLevel="0" collapsed="false">
      <c r="A35" s="8" t="s">
        <v>91</v>
      </c>
      <c r="B35" s="11" t="n">
        <v>45962</v>
      </c>
      <c r="C35" s="11" t="n">
        <v>45992</v>
      </c>
      <c r="D35" s="9" t="n">
        <f aca="false">SUMIFS('Raw Data'!$M$2:$M$561,'Raw Data'!$B$2:$B$561,"&gt;="&amp;B35,'Raw Data'!$B$2:$B$561,"&lt;"&amp;C35,'Raw Data'!$S$2:$S$561,"&lt;&gt;Cancelled",'Raw Data'!$S$2:$S$561,"&lt;&gt;Returned")</f>
        <v>194015.8475</v>
      </c>
      <c r="E35" s="9" t="n">
        <f aca="false">SUMIFS('Raw Data'!$N$2:$N$561,'Raw Data'!$B$2:$B$561,"&gt;="&amp;B35,'Raw Data'!$B$2:$B$561,"&lt;"&amp;C35,'Raw Data'!$S$2:$S$561,"&lt;&gt;Cancelled",'Raw Data'!$S$2:$S$561,"&lt;&gt;Returned")</f>
        <v>114790</v>
      </c>
      <c r="F35" s="9" t="n">
        <f aca="false">D35-E35</f>
        <v>79225.8475</v>
      </c>
      <c r="G35" s="9" t="n">
        <f aca="false">SUMIFS('Raw Data'!$P$2:$P$561,'Raw Data'!$B$2:$B$561,"&gt;="&amp;B35,'Raw Data'!$B$2:$B$561,"&lt;"&amp;C35,'Raw Data'!$S$2:$S$561,"&lt;&gt;Cancelled",'Raw Data'!$S$2:$S$561,"&lt;&gt;Returned")</f>
        <v>17783.1908875</v>
      </c>
      <c r="H35" s="9" t="n">
        <f aca="false">F35-G35</f>
        <v>61442.6566125</v>
      </c>
      <c r="I35" s="8" t="n">
        <f aca="false">COUNTIFS('Raw Data'!$B$2:$B$561,"&gt;="&amp;B35,'Raw Data'!$B$2:$B$561,"&lt;"&amp;C35,'Raw Data'!$S$2:$S$561,"&lt;&gt;Cancelled",'Raw Data'!$S$2:$S$561,"&lt;&gt;Returned")</f>
        <v>37</v>
      </c>
    </row>
    <row r="36" customFormat="false" ht="15" hidden="false" customHeight="false" outlineLevel="0" collapsed="false">
      <c r="A36" s="8" t="s">
        <v>92</v>
      </c>
      <c r="B36" s="11" t="n">
        <v>45992</v>
      </c>
      <c r="C36" s="11" t="n">
        <v>46023</v>
      </c>
      <c r="D36" s="9" t="n">
        <f aca="false">SUMIFS('Raw Data'!$M$2:$M$561,'Raw Data'!$B$2:$B$561,"&gt;="&amp;B36,'Raw Data'!$B$2:$B$561,"&lt;"&amp;C36,'Raw Data'!$S$2:$S$561,"&lt;&gt;Cancelled",'Raw Data'!$S$2:$S$561,"&lt;&gt;Returned")</f>
        <v>211208.905</v>
      </c>
      <c r="E36" s="9" t="n">
        <f aca="false">SUMIFS('Raw Data'!$N$2:$N$561,'Raw Data'!$B$2:$B$561,"&gt;="&amp;B36,'Raw Data'!$B$2:$B$561,"&lt;"&amp;C36,'Raw Data'!$S$2:$S$561,"&lt;&gt;Cancelled",'Raw Data'!$S$2:$S$561,"&lt;&gt;Returned")</f>
        <v>124490</v>
      </c>
      <c r="F36" s="9" t="n">
        <f aca="false">D36-E36</f>
        <v>86718.905</v>
      </c>
      <c r="G36" s="9" t="n">
        <f aca="false">SUMIFS('Raw Data'!$P$2:$P$561,'Raw Data'!$B$2:$B$561,"&gt;="&amp;B36,'Raw Data'!$B$2:$B$561,"&lt;"&amp;C36,'Raw Data'!$S$2:$S$561,"&lt;&gt;Cancelled",'Raw Data'!$S$2:$S$561,"&lt;&gt;Returned")</f>
        <v>18828.729405</v>
      </c>
      <c r="H36" s="9" t="n">
        <f aca="false">F36-G36</f>
        <v>67890.175595</v>
      </c>
      <c r="I36" s="8" t="n">
        <f aca="false">COUNTIFS('Raw Data'!$B$2:$B$561,"&gt;="&amp;B36,'Raw Data'!$B$2:$B$561,"&lt;"&amp;C36,'Raw Data'!$S$2:$S$561,"&lt;&gt;Cancelled",'Raw Data'!$S$2:$S$561,"&lt;&gt;Returned")</f>
        <v>38</v>
      </c>
    </row>
    <row r="37" customFormat="false" ht="15" hidden="false" customHeight="false" outlineLevel="0" collapsed="false">
      <c r="A37" s="8" t="s">
        <v>93</v>
      </c>
      <c r="B37" s="11" t="n">
        <v>46023</v>
      </c>
      <c r="C37" s="11" t="n">
        <v>46054</v>
      </c>
      <c r="D37" s="9" t="n">
        <f aca="false">SUMIFS('Raw Data'!$M$2:$M$561,'Raw Data'!$B$2:$B$561,"&gt;="&amp;B37,'Raw Data'!$B$2:$B$561,"&lt;"&amp;C37,'Raw Data'!$S$2:$S$561,"&lt;&gt;Cancelled",'Raw Data'!$S$2:$S$561,"&lt;&gt;Returned")</f>
        <v>267567.1195</v>
      </c>
      <c r="E37" s="9" t="n">
        <f aca="false">SUMIFS('Raw Data'!$N$2:$N$561,'Raw Data'!$B$2:$B$561,"&gt;="&amp;B37,'Raw Data'!$B$2:$B$561,"&lt;"&amp;C37,'Raw Data'!$S$2:$S$561,"&lt;&gt;Cancelled",'Raw Data'!$S$2:$S$561,"&lt;&gt;Returned")</f>
        <v>154320</v>
      </c>
      <c r="F37" s="9" t="n">
        <f aca="false">D37-E37</f>
        <v>113247.1195</v>
      </c>
      <c r="G37" s="9" t="n">
        <f aca="false">SUMIFS('Raw Data'!$P$2:$P$561,'Raw Data'!$B$2:$B$561,"&gt;="&amp;B37,'Raw Data'!$B$2:$B$561,"&lt;"&amp;C37,'Raw Data'!$S$2:$S$561,"&lt;&gt;Cancelled",'Raw Data'!$S$2:$S$561,"&lt;&gt;Returned")</f>
        <v>23979.948155</v>
      </c>
      <c r="H37" s="9" t="n">
        <f aca="false">F37-G37</f>
        <v>89267.171345</v>
      </c>
      <c r="I37" s="8" t="n">
        <f aca="false">COUNTIFS('Raw Data'!$B$2:$B$561,"&gt;="&amp;B37,'Raw Data'!$B$2:$B$561,"&lt;"&amp;C37,'Raw Data'!$S$2:$S$561,"&lt;&gt;Cancelled",'Raw Data'!$S$2:$S$561,"&lt;&gt;Returned")</f>
        <v>45</v>
      </c>
    </row>
    <row r="38" customFormat="false" ht="15" hidden="false" customHeight="false" outlineLevel="0" collapsed="false">
      <c r="A38" s="8" t="s">
        <v>94</v>
      </c>
      <c r="B38" s="11" t="n">
        <v>46054</v>
      </c>
      <c r="C38" s="11" t="n">
        <v>46082</v>
      </c>
      <c r="D38" s="9" t="n">
        <f aca="false">SUMIFS('Raw Data'!$M$2:$M$561,'Raw Data'!$B$2:$B$561,"&gt;="&amp;B38,'Raw Data'!$B$2:$B$561,"&lt;"&amp;C38,'Raw Data'!$S$2:$S$561,"&lt;&gt;Cancelled",'Raw Data'!$S$2:$S$561,"&lt;&gt;Returned")</f>
        <v>261061.4125</v>
      </c>
      <c r="E38" s="9" t="n">
        <f aca="false">SUMIFS('Raw Data'!$N$2:$N$561,'Raw Data'!$B$2:$B$561,"&gt;="&amp;B38,'Raw Data'!$B$2:$B$561,"&lt;"&amp;C38,'Raw Data'!$S$2:$S$561,"&lt;&gt;Cancelled",'Raw Data'!$S$2:$S$561,"&lt;&gt;Returned")</f>
        <v>151130</v>
      </c>
      <c r="F38" s="9" t="n">
        <f aca="false">D38-E38</f>
        <v>109931.4125</v>
      </c>
      <c r="G38" s="9" t="n">
        <f aca="false">SUMIFS('Raw Data'!$P$2:$P$561,'Raw Data'!$B$2:$B$561,"&gt;="&amp;B38,'Raw Data'!$B$2:$B$561,"&lt;"&amp;C38,'Raw Data'!$S$2:$S$561,"&lt;&gt;Cancelled",'Raw Data'!$S$2:$S$561,"&lt;&gt;Returned")</f>
        <v>23218.495245</v>
      </c>
      <c r="H38" s="9" t="n">
        <f aca="false">F38-G38</f>
        <v>86712.917255</v>
      </c>
      <c r="I38" s="8" t="n">
        <f aca="false">COUNTIFS('Raw Data'!$B$2:$B$561,"&gt;="&amp;B38,'Raw Data'!$B$2:$B$561,"&lt;"&amp;C38,'Raw Data'!$S$2:$S$561,"&lt;&gt;Cancelled",'Raw Data'!$S$2:$S$561,"&lt;&gt;Returned")</f>
        <v>38</v>
      </c>
    </row>
    <row r="39" customFormat="false" ht="15" hidden="false" customHeight="false" outlineLevel="0" collapsed="false">
      <c r="A39" s="8" t="s">
        <v>95</v>
      </c>
      <c r="B39" s="11" t="n">
        <v>46082</v>
      </c>
      <c r="C39" s="11" t="n">
        <v>46113</v>
      </c>
      <c r="D39" s="9" t="n">
        <f aca="false">SUMIFS('Raw Data'!$M$2:$M$561,'Raw Data'!$B$2:$B$561,"&gt;="&amp;B39,'Raw Data'!$B$2:$B$561,"&lt;"&amp;C39,'Raw Data'!$S$2:$S$561,"&lt;&gt;Cancelled",'Raw Data'!$S$2:$S$561,"&lt;&gt;Returned")</f>
        <v>293993.194</v>
      </c>
      <c r="E39" s="9" t="n">
        <f aca="false">SUMIFS('Raw Data'!$N$2:$N$561,'Raw Data'!$B$2:$B$561,"&gt;="&amp;B39,'Raw Data'!$B$2:$B$561,"&lt;"&amp;C39,'Raw Data'!$S$2:$S$561,"&lt;&gt;Cancelled",'Raw Data'!$S$2:$S$561,"&lt;&gt;Returned")</f>
        <v>174440</v>
      </c>
      <c r="F39" s="9" t="n">
        <f aca="false">D39-E39</f>
        <v>119553.194</v>
      </c>
      <c r="G39" s="9" t="n">
        <f aca="false">SUMIFS('Raw Data'!$P$2:$P$561,'Raw Data'!$B$2:$B$561,"&gt;="&amp;B39,'Raw Data'!$B$2:$B$561,"&lt;"&amp;C39,'Raw Data'!$S$2:$S$561,"&lt;&gt;Cancelled",'Raw Data'!$S$2:$S$561,"&lt;&gt;Returned")</f>
        <v>27773.3493</v>
      </c>
      <c r="H39" s="9" t="n">
        <f aca="false">F39-G39</f>
        <v>91779.8447</v>
      </c>
      <c r="I39" s="8" t="n">
        <f aca="false">COUNTIFS('Raw Data'!$B$2:$B$561,"&gt;="&amp;B39,'Raw Data'!$B$2:$B$561,"&lt;"&amp;C39,'Raw Data'!$S$2:$S$561,"&lt;&gt;Cancelled",'Raw Data'!$S$2:$S$561,"&lt;&gt;Returned")</f>
        <v>43</v>
      </c>
    </row>
    <row r="40" customFormat="false" ht="15" hidden="false" customHeight="false" outlineLevel="0" collapsed="false">
      <c r="A40" s="8" t="s">
        <v>96</v>
      </c>
      <c r="B40" s="11" t="n">
        <v>46113</v>
      </c>
      <c r="C40" s="11" t="n">
        <v>46143</v>
      </c>
      <c r="D40" s="9" t="n">
        <f aca="false">SUMIFS('Raw Data'!$M$2:$M$561,'Raw Data'!$B$2:$B$561,"&gt;="&amp;B40,'Raw Data'!$B$2:$B$561,"&lt;"&amp;C40,'Raw Data'!$S$2:$S$561,"&lt;&gt;Cancelled",'Raw Data'!$S$2:$S$561,"&lt;&gt;Returned")</f>
        <v>384240.2555</v>
      </c>
      <c r="E40" s="9" t="n">
        <f aca="false">SUMIFS('Raw Data'!$N$2:$N$561,'Raw Data'!$B$2:$B$561,"&gt;="&amp;B40,'Raw Data'!$B$2:$B$561,"&lt;"&amp;C40,'Raw Data'!$S$2:$S$561,"&lt;&gt;Cancelled",'Raw Data'!$S$2:$S$561,"&lt;&gt;Returned")</f>
        <v>227120</v>
      </c>
      <c r="F40" s="9" t="n">
        <f aca="false">D40-E40</f>
        <v>157120.2555</v>
      </c>
      <c r="G40" s="9" t="n">
        <f aca="false">SUMIFS('Raw Data'!$P$2:$P$561,'Raw Data'!$B$2:$B$561,"&gt;="&amp;B40,'Raw Data'!$B$2:$B$561,"&lt;"&amp;C40,'Raw Data'!$S$2:$S$561,"&lt;&gt;Cancelled",'Raw Data'!$S$2:$S$561,"&lt;&gt;Returned")</f>
        <v>32744.75153</v>
      </c>
      <c r="H40" s="9" t="n">
        <f aca="false">F40-G40</f>
        <v>124375.50397</v>
      </c>
      <c r="I40" s="8" t="n">
        <f aca="false">COUNTIFS('Raw Data'!$B$2:$B$561,"&gt;="&amp;B40,'Raw Data'!$B$2:$B$561,"&lt;"&amp;C40,'Raw Data'!$S$2:$S$561,"&lt;&gt;Cancelled",'Raw Data'!$S$2:$S$561,"&lt;&gt;Returned")</f>
        <v>44</v>
      </c>
    </row>
    <row r="41" customFormat="false" ht="15" hidden="false" customHeight="false" outlineLevel="0" collapsed="false">
      <c r="A41" s="8" t="s">
        <v>97</v>
      </c>
      <c r="B41" s="11" t="n">
        <v>46143</v>
      </c>
      <c r="C41" s="11" t="n">
        <v>46174</v>
      </c>
      <c r="D41" s="9" t="n">
        <f aca="false">SUMIFS('Raw Data'!$M$2:$M$561,'Raw Data'!$B$2:$B$561,"&gt;="&amp;B41,'Raw Data'!$B$2:$B$561,"&lt;"&amp;C41,'Raw Data'!$S$2:$S$561,"&lt;&gt;Cancelled",'Raw Data'!$S$2:$S$561,"&lt;&gt;Returned")</f>
        <v>248761.617</v>
      </c>
      <c r="E41" s="9" t="n">
        <f aca="false">SUMIFS('Raw Data'!$N$2:$N$561,'Raw Data'!$B$2:$B$561,"&gt;="&amp;B41,'Raw Data'!$B$2:$B$561,"&lt;"&amp;C41,'Raw Data'!$S$2:$S$561,"&lt;&gt;Cancelled",'Raw Data'!$S$2:$S$561,"&lt;&gt;Returned")</f>
        <v>146030</v>
      </c>
      <c r="F41" s="9" t="n">
        <f aca="false">D41-E41</f>
        <v>102731.617</v>
      </c>
      <c r="G41" s="9" t="n">
        <f aca="false">SUMIFS('Raw Data'!$P$2:$P$561,'Raw Data'!$B$2:$B$561,"&gt;="&amp;B41,'Raw Data'!$B$2:$B$561,"&lt;"&amp;C41,'Raw Data'!$S$2:$S$561,"&lt;&gt;Cancelled",'Raw Data'!$S$2:$S$561,"&lt;&gt;Returned")</f>
        <v>22022.08871</v>
      </c>
      <c r="H41" s="9" t="n">
        <f aca="false">F41-G41</f>
        <v>80709.52829</v>
      </c>
      <c r="I41" s="8" t="n">
        <f aca="false">COUNTIFS('Raw Data'!$B$2:$B$561,"&gt;="&amp;B41,'Raw Data'!$B$2:$B$561,"&lt;"&amp;C41,'Raw Data'!$S$2:$S$561,"&lt;&gt;Cancelled",'Raw Data'!$S$2:$S$561,"&lt;&gt;Returned")</f>
        <v>40</v>
      </c>
    </row>
    <row r="42" customFormat="false" ht="15" hidden="false" customHeight="false" outlineLevel="0" collapsed="false">
      <c r="A42" s="8" t="s">
        <v>98</v>
      </c>
      <c r="B42" s="11" t="n">
        <v>46174</v>
      </c>
      <c r="C42" s="11" t="n">
        <v>46204</v>
      </c>
      <c r="D42" s="9" t="n">
        <f aca="false">SUMIFS('Raw Data'!$M$2:$M$561,'Raw Data'!$B$2:$B$561,"&gt;="&amp;B42,'Raw Data'!$B$2:$B$561,"&lt;"&amp;C42,'Raw Data'!$S$2:$S$561,"&lt;&gt;Cancelled",'Raw Data'!$S$2:$S$561,"&lt;&gt;Returned")</f>
        <v>326130.3335</v>
      </c>
      <c r="E42" s="9" t="n">
        <f aca="false">SUMIFS('Raw Data'!$N$2:$N$561,'Raw Data'!$B$2:$B$561,"&gt;="&amp;B42,'Raw Data'!$B$2:$B$561,"&lt;"&amp;C42,'Raw Data'!$S$2:$S$561,"&lt;&gt;Cancelled",'Raw Data'!$S$2:$S$561,"&lt;&gt;Returned")</f>
        <v>189610</v>
      </c>
      <c r="F42" s="9" t="n">
        <f aca="false">D42-E42</f>
        <v>136520.3335</v>
      </c>
      <c r="G42" s="9" t="n">
        <f aca="false">SUMIFS('Raw Data'!$P$2:$P$561,'Raw Data'!$B$2:$B$561,"&gt;="&amp;B42,'Raw Data'!$B$2:$B$561,"&lt;"&amp;C42,'Raw Data'!$S$2:$S$561,"&lt;&gt;Cancelled",'Raw Data'!$S$2:$S$561,"&lt;&gt;Returned")</f>
        <v>27462.42283</v>
      </c>
      <c r="H42" s="9" t="n">
        <f aca="false">F42-G42</f>
        <v>109057.91067</v>
      </c>
      <c r="I42" s="8" t="n">
        <f aca="false">COUNTIFS('Raw Data'!$B$2:$B$561,"&gt;="&amp;B42,'Raw Data'!$B$2:$B$561,"&lt;"&amp;C42,'Raw Data'!$S$2:$S$561,"&lt;&gt;Cancelled",'Raw Data'!$S$2:$S$561,"&lt;&gt;Returned")</f>
        <v>34</v>
      </c>
    </row>
    <row r="43" customFormat="false" ht="15" hidden="false" customHeight="false" outlineLevel="0" collapsed="false">
      <c r="A43" s="8" t="s">
        <v>99</v>
      </c>
      <c r="B43" s="11" t="n">
        <v>46204</v>
      </c>
      <c r="C43" s="11" t="n">
        <v>46235</v>
      </c>
      <c r="D43" s="9" t="n">
        <f aca="false">SUMIFS('Raw Data'!$M$2:$M$561,'Raw Data'!$B$2:$B$561,"&gt;="&amp;B43,'Raw Data'!$B$2:$B$561,"&lt;"&amp;C43,'Raw Data'!$S$2:$S$561,"&lt;&gt;Cancelled",'Raw Data'!$S$2:$S$561,"&lt;&gt;Returned")</f>
        <v>261369.552</v>
      </c>
      <c r="E43" s="9" t="n">
        <f aca="false">SUMIFS('Raw Data'!$N$2:$N$561,'Raw Data'!$B$2:$B$561,"&gt;="&amp;B43,'Raw Data'!$B$2:$B$561,"&lt;"&amp;C43,'Raw Data'!$S$2:$S$561,"&lt;&gt;Cancelled",'Raw Data'!$S$2:$S$561,"&lt;&gt;Returned")</f>
        <v>152080</v>
      </c>
      <c r="F43" s="9" t="n">
        <f aca="false">D43-E43</f>
        <v>109289.552</v>
      </c>
      <c r="G43" s="9" t="n">
        <f aca="false">SUMIFS('Raw Data'!$P$2:$P$561,'Raw Data'!$B$2:$B$561,"&gt;="&amp;B43,'Raw Data'!$B$2:$B$561,"&lt;"&amp;C43,'Raw Data'!$S$2:$S$561,"&lt;&gt;Cancelled",'Raw Data'!$S$2:$S$561,"&lt;&gt;Returned")</f>
        <v>24410.57738</v>
      </c>
      <c r="H43" s="9" t="n">
        <f aca="false">F43-G43</f>
        <v>84878.97462</v>
      </c>
      <c r="I43" s="8" t="n">
        <f aca="false">COUNTIFS('Raw Data'!$B$2:$B$561,"&gt;="&amp;B43,'Raw Data'!$B$2:$B$561,"&lt;"&amp;C43,'Raw Data'!$S$2:$S$561,"&lt;&gt;Cancelled",'Raw Data'!$S$2:$S$561,"&lt;&gt;Returned")</f>
        <v>44</v>
      </c>
    </row>
    <row r="46" customFormat="false" ht="15" hidden="false" customHeight="false" outlineLevel="0" collapsed="false">
      <c r="A46" s="5" t="s">
        <v>100</v>
      </c>
    </row>
    <row r="47" customFormat="false" ht="45" hidden="false" customHeight="true" outlineLevel="0" collapsed="false">
      <c r="A47" s="12" t="s">
        <v>101</v>
      </c>
      <c r="B47" s="12"/>
      <c r="C47" s="12"/>
      <c r="D47" s="12"/>
      <c r="E47" s="12"/>
      <c r="F47" s="12"/>
      <c r="G47" s="12"/>
      <c r="H47" s="12"/>
      <c r="I47" s="12"/>
    </row>
    <row r="49" customFormat="false" ht="15" hidden="false" customHeight="false" outlineLevel="0" collapsed="false">
      <c r="A49" s="5" t="s">
        <v>102</v>
      </c>
    </row>
    <row r="50" customFormat="false" ht="45" hidden="false" customHeight="true" outlineLevel="0" collapsed="false">
      <c r="A50" s="12" t="s">
        <v>103</v>
      </c>
      <c r="B50" s="12"/>
      <c r="C50" s="12"/>
      <c r="D50" s="12"/>
      <c r="E50" s="12"/>
      <c r="F50" s="12"/>
      <c r="G50" s="12"/>
      <c r="H50" s="12"/>
      <c r="I50" s="12"/>
    </row>
  </sheetData>
  <mergeCells count="5">
    <mergeCell ref="A4:C4"/>
    <mergeCell ref="E4:F4"/>
    <mergeCell ref="A30:I30"/>
    <mergeCell ref="A47:I47"/>
    <mergeCell ref="A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2"/>
    <col collapsed="false" customWidth="true" hidden="false" outlineLevel="0" max="4" min="4" style="0" width="18"/>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26"/>
    <col collapsed="false" customWidth="true" hidden="false" outlineLevel="0" max="9" min="9" style="0" width="20"/>
    <col collapsed="false" customWidth="true" hidden="false" outlineLevel="0" max="10" min="10" style="0" width="10"/>
    <col collapsed="false" customWidth="true" hidden="false" outlineLevel="0" max="11" min="11" style="0" width="13"/>
    <col collapsed="false" customWidth="true" hidden="false" outlineLevel="0" max="12" min="12" style="0" width="11"/>
    <col collapsed="false" customWidth="true" hidden="false" outlineLevel="0" max="13" min="13" style="0" width="14"/>
    <col collapsed="false" customWidth="true" hidden="false" outlineLevel="0" max="14" min="14" style="0" width="12"/>
    <col collapsed="false" customWidth="true" hidden="false" outlineLevel="0" max="15" min="15" style="0" width="13"/>
    <col collapsed="false" customWidth="true" hidden="false" outlineLevel="0" max="16" min="16" style="0" width="16"/>
    <col collapsed="false" customWidth="true" hidden="false" outlineLevel="0" max="17" min="17" style="0" width="13"/>
    <col collapsed="false" customWidth="true" hidden="false" outlineLevel="0" max="18" min="18" style="0" width="15"/>
    <col collapsed="false" customWidth="true" hidden="false" outlineLevel="0" max="19" min="19" style="0" width="13"/>
  </cols>
  <sheetData>
    <row r="1" customFormat="false" ht="15" hidden="false" customHeight="false" outlineLevel="0" collapsed="false">
      <c r="A1" s="13" t="s">
        <v>104</v>
      </c>
      <c r="B1" s="13" t="s">
        <v>105</v>
      </c>
      <c r="C1" s="13" t="s">
        <v>106</v>
      </c>
      <c r="D1" s="13" t="s">
        <v>107</v>
      </c>
      <c r="E1" s="13" t="s">
        <v>108</v>
      </c>
      <c r="F1" s="13" t="s">
        <v>109</v>
      </c>
      <c r="G1" s="13" t="s">
        <v>110</v>
      </c>
      <c r="H1" s="13" t="s">
        <v>46</v>
      </c>
      <c r="I1" s="13" t="s">
        <v>47</v>
      </c>
      <c r="J1" s="13" t="s">
        <v>111</v>
      </c>
      <c r="K1" s="13" t="s">
        <v>112</v>
      </c>
      <c r="L1" s="13" t="s">
        <v>113</v>
      </c>
      <c r="M1" s="13" t="s">
        <v>114</v>
      </c>
      <c r="N1" s="13" t="s">
        <v>115</v>
      </c>
      <c r="O1" s="13" t="s">
        <v>84</v>
      </c>
      <c r="P1" s="13" t="s">
        <v>85</v>
      </c>
      <c r="Q1" s="13" t="s">
        <v>86</v>
      </c>
      <c r="R1" s="13" t="s">
        <v>116</v>
      </c>
      <c r="S1" s="13" t="s">
        <v>117</v>
      </c>
    </row>
    <row r="2" customFormat="false" ht="15" hidden="false" customHeight="false" outlineLevel="0" collapsed="false">
      <c r="A2" s="14" t="s">
        <v>118</v>
      </c>
      <c r="B2" s="15" t="n">
        <v>45870</v>
      </c>
      <c r="C2" s="14" t="s">
        <v>119</v>
      </c>
      <c r="D2" s="14" t="s">
        <v>120</v>
      </c>
      <c r="E2" s="14" t="s">
        <v>121</v>
      </c>
      <c r="F2" s="14" t="s">
        <v>122</v>
      </c>
      <c r="G2" s="14" t="s">
        <v>123</v>
      </c>
      <c r="H2" s="14" t="s">
        <v>66</v>
      </c>
      <c r="I2" s="14" t="str">
        <f aca="false">IFERROR(INDEX(Calculations!$B$6:$B$27,MATCH(H2,Calculations!$A$6:$A$27,0)),"Unknown")</f>
        <v>Computer Peripherals</v>
      </c>
      <c r="J2" s="14" t="n">
        <v>4</v>
      </c>
      <c r="K2" s="16" t="n">
        <v>13235.29</v>
      </c>
      <c r="L2" s="17" t="n">
        <v>0</v>
      </c>
      <c r="M2" s="18" t="n">
        <f aca="false">J2*K2*(1-L2)</f>
        <v>52941.16</v>
      </c>
      <c r="N2" s="18" t="n">
        <f aca="false">J2*IFERROR(INDEX(Calculations!$C$6:$C$27,MATCH(H2,Calculations!$A$6:$A$27,0)),0)</f>
        <v>28800</v>
      </c>
      <c r="O2" s="18" t="n">
        <f aca="false">M2-N2</f>
        <v>24141.16</v>
      </c>
      <c r="P2" s="18" t="n">
        <f aca="false">M2*IFERROR(INDEX(Calculations!$F$6:$F$11,MATCH(I2,Calculations!$E$6:$E$11,0)),0.1)</f>
        <v>4235.2928</v>
      </c>
      <c r="Q2" s="18" t="n">
        <f aca="false">O2-P2</f>
        <v>19905.8672</v>
      </c>
      <c r="R2" s="14" t="s">
        <v>124</v>
      </c>
      <c r="S2" s="14" t="s">
        <v>125</v>
      </c>
    </row>
    <row r="3" customFormat="false" ht="15" hidden="false" customHeight="false" outlineLevel="0" collapsed="false">
      <c r="A3" s="14" t="s">
        <v>126</v>
      </c>
      <c r="B3" s="15" t="n">
        <v>45870</v>
      </c>
      <c r="C3" s="14" t="s">
        <v>127</v>
      </c>
      <c r="D3" s="14" t="s">
        <v>128</v>
      </c>
      <c r="E3" s="14" t="s">
        <v>121</v>
      </c>
      <c r="F3" s="14" t="s">
        <v>129</v>
      </c>
      <c r="G3" s="14" t="s">
        <v>123</v>
      </c>
      <c r="H3" s="14" t="s">
        <v>60</v>
      </c>
      <c r="I3" s="14" t="str">
        <f aca="false">IFERROR(INDEX(Calculations!$B$6:$B$27,MATCH(H3,Calculations!$A$6:$A$27,0)),"Unknown")</f>
        <v>Mobile Accessories</v>
      </c>
      <c r="J3" s="14" t="n">
        <v>4</v>
      </c>
      <c r="K3" s="16" t="n">
        <v>254.39</v>
      </c>
      <c r="L3" s="17" t="n">
        <v>0.05</v>
      </c>
      <c r="M3" s="18" t="n">
        <f aca="false">J3*K3*(1-L3)</f>
        <v>966.682</v>
      </c>
      <c r="N3" s="18" t="n">
        <f aca="false">J3*IFERROR(INDEX(Calculations!$C$6:$C$27,MATCH(H3,Calculations!$A$6:$A$27,0)),0)</f>
        <v>360</v>
      </c>
      <c r="O3" s="18" t="n">
        <f aca="false">M3-N3</f>
        <v>606.682</v>
      </c>
      <c r="P3" s="18" t="n">
        <f aca="false">M3*IFERROR(INDEX(Calculations!$F$6:$F$11,MATCH(I3,Calculations!$E$6:$E$11,0)),0.1)</f>
        <v>116.00184</v>
      </c>
      <c r="Q3" s="18" t="n">
        <f aca="false">O3-P3</f>
        <v>490.68016</v>
      </c>
      <c r="R3" s="14" t="s">
        <v>130</v>
      </c>
      <c r="S3" s="14" t="s">
        <v>125</v>
      </c>
    </row>
    <row r="4" customFormat="false" ht="15" hidden="false" customHeight="false" outlineLevel="0" collapsed="false">
      <c r="A4" s="14" t="s">
        <v>131</v>
      </c>
      <c r="B4" s="15" t="n">
        <v>45870</v>
      </c>
      <c r="C4" s="14" t="s">
        <v>132</v>
      </c>
      <c r="D4" s="14" t="s">
        <v>133</v>
      </c>
      <c r="E4" s="14" t="s">
        <v>121</v>
      </c>
      <c r="F4" s="14" t="s">
        <v>129</v>
      </c>
      <c r="G4" s="14" t="s">
        <v>134</v>
      </c>
      <c r="H4" s="14" t="s">
        <v>76</v>
      </c>
      <c r="I4" s="14" t="str">
        <f aca="false">IFERROR(INDEX(Calculations!$B$6:$B$27,MATCH(H4,Calculations!$A$6:$A$27,0)),"Unknown")</f>
        <v>Cameras</v>
      </c>
      <c r="J4" s="14" t="n">
        <v>3</v>
      </c>
      <c r="K4" s="16" t="n">
        <v>7470.79</v>
      </c>
      <c r="L4" s="17" t="n">
        <v>0</v>
      </c>
      <c r="M4" s="18" t="n">
        <f aca="false">J4*K4*(1-L4)</f>
        <v>22412.37</v>
      </c>
      <c r="N4" s="18" t="n">
        <f aca="false">J4*IFERROR(INDEX(Calculations!$C$6:$C$27,MATCH(H4,Calculations!$A$6:$A$27,0)),0)</f>
        <v>12600</v>
      </c>
      <c r="O4" s="18" t="n">
        <f aca="false">M4-N4</f>
        <v>9812.37</v>
      </c>
      <c r="P4" s="18" t="n">
        <f aca="false">M4*IFERROR(INDEX(Calculations!$F$6:$F$11,MATCH(I4,Calculations!$E$6:$E$11,0)),0.1)</f>
        <v>1680.92775</v>
      </c>
      <c r="Q4" s="18" t="n">
        <f aca="false">O4-P4</f>
        <v>8131.44225</v>
      </c>
      <c r="R4" s="14" t="s">
        <v>135</v>
      </c>
      <c r="S4" s="14" t="s">
        <v>125</v>
      </c>
    </row>
    <row r="5" customFormat="false" ht="15" hidden="false" customHeight="false" outlineLevel="0" collapsed="false">
      <c r="A5" s="14" t="s">
        <v>136</v>
      </c>
      <c r="B5" s="15" t="n">
        <v>45870</v>
      </c>
      <c r="C5" s="14" t="s">
        <v>137</v>
      </c>
      <c r="D5" s="14" t="s">
        <v>138</v>
      </c>
      <c r="E5" s="14" t="s">
        <v>139</v>
      </c>
      <c r="F5" s="14" t="s">
        <v>140</v>
      </c>
      <c r="G5" s="14" t="s">
        <v>141</v>
      </c>
      <c r="H5" s="14" t="s">
        <v>52</v>
      </c>
      <c r="I5" s="14" t="str">
        <f aca="false">IFERROR(INDEX(Calculations!$B$6:$B$27,MATCH(H5,Calculations!$A$6:$A$27,0)),"Unknown")</f>
        <v>Audio</v>
      </c>
      <c r="J5" s="14" t="n">
        <v>1</v>
      </c>
      <c r="K5" s="16" t="n">
        <v>1865.91</v>
      </c>
      <c r="L5" s="17" t="n">
        <v>0</v>
      </c>
      <c r="M5" s="18" t="n">
        <f aca="false">J5*K5*(1-L5)</f>
        <v>1865.91</v>
      </c>
      <c r="N5" s="18" t="n">
        <f aca="false">J5*IFERROR(INDEX(Calculations!$C$6:$C$27,MATCH(H5,Calculations!$A$6:$A$27,0)),0)</f>
        <v>900</v>
      </c>
      <c r="O5" s="18" t="n">
        <f aca="false">M5-N5</f>
        <v>965.91</v>
      </c>
      <c r="P5" s="18" t="n">
        <f aca="false">M5*IFERROR(INDEX(Calculations!$F$6:$F$11,MATCH(I5,Calculations!$E$6:$E$11,0)),0.1)</f>
        <v>186.591</v>
      </c>
      <c r="Q5" s="18" t="n">
        <f aca="false">O5-P5</f>
        <v>779.319</v>
      </c>
      <c r="R5" s="14" t="s">
        <v>124</v>
      </c>
      <c r="S5" s="14" t="s">
        <v>125</v>
      </c>
    </row>
    <row r="6" customFormat="false" ht="15" hidden="false" customHeight="false" outlineLevel="0" collapsed="false">
      <c r="A6" s="14" t="s">
        <v>142</v>
      </c>
      <c r="B6" s="15" t="n">
        <v>45871</v>
      </c>
      <c r="C6" s="14" t="s">
        <v>143</v>
      </c>
      <c r="D6" s="14" t="s">
        <v>144</v>
      </c>
      <c r="E6" s="14" t="s">
        <v>145</v>
      </c>
      <c r="F6" s="14" t="s">
        <v>146</v>
      </c>
      <c r="G6" s="14" t="s">
        <v>147</v>
      </c>
      <c r="H6" s="14" t="s">
        <v>64</v>
      </c>
      <c r="I6" s="14" t="str">
        <f aca="false">IFERROR(INDEX(Calculations!$B$6:$B$27,MATCH(H6,Calculations!$A$6:$A$27,0)),"Unknown")</f>
        <v>Computer Peripherals</v>
      </c>
      <c r="J6" s="14" t="n">
        <v>2</v>
      </c>
      <c r="K6" s="16" t="n">
        <v>769.93</v>
      </c>
      <c r="L6" s="17" t="n">
        <v>0.05</v>
      </c>
      <c r="M6" s="18" t="n">
        <f aca="false">J6*K6*(1-L6)</f>
        <v>1462.867</v>
      </c>
      <c r="N6" s="18" t="n">
        <f aca="false">J6*IFERROR(INDEX(Calculations!$C$6:$C$27,MATCH(H6,Calculations!$A$6:$A$27,0)),0)</f>
        <v>700</v>
      </c>
      <c r="O6" s="18" t="n">
        <f aca="false">M6-N6</f>
        <v>762.867</v>
      </c>
      <c r="P6" s="18" t="n">
        <f aca="false">M6*IFERROR(INDEX(Calculations!$F$6:$F$11,MATCH(I6,Calculations!$E$6:$E$11,0)),0.1)</f>
        <v>117.02936</v>
      </c>
      <c r="Q6" s="18" t="n">
        <f aca="false">O6-P6</f>
        <v>645.83764</v>
      </c>
      <c r="R6" s="14" t="s">
        <v>130</v>
      </c>
      <c r="S6" s="14" t="s">
        <v>148</v>
      </c>
    </row>
    <row r="7" customFormat="false" ht="15" hidden="false" customHeight="false" outlineLevel="0" collapsed="false">
      <c r="A7" s="14" t="s">
        <v>149</v>
      </c>
      <c r="B7" s="15" t="n">
        <v>45871</v>
      </c>
      <c r="C7" s="14" t="s">
        <v>150</v>
      </c>
      <c r="D7" s="14" t="s">
        <v>151</v>
      </c>
      <c r="E7" s="14" t="s">
        <v>139</v>
      </c>
      <c r="F7" s="14" t="s">
        <v>152</v>
      </c>
      <c r="G7" s="14" t="s">
        <v>123</v>
      </c>
      <c r="H7" s="14" t="s">
        <v>67</v>
      </c>
      <c r="I7" s="14" t="str">
        <f aca="false">IFERROR(INDEX(Calculations!$B$6:$B$27,MATCH(H7,Calculations!$A$6:$A$27,0)),"Unknown")</f>
        <v>Computer Peripherals</v>
      </c>
      <c r="J7" s="14" t="n">
        <v>1</v>
      </c>
      <c r="K7" s="16" t="n">
        <v>1845.62</v>
      </c>
      <c r="L7" s="17" t="n">
        <v>0.1</v>
      </c>
      <c r="M7" s="18" t="n">
        <f aca="false">J7*K7*(1-L7)</f>
        <v>1661.058</v>
      </c>
      <c r="N7" s="18" t="n">
        <f aca="false">J7*IFERROR(INDEX(Calculations!$C$6:$C$27,MATCH(H7,Calculations!$A$6:$A$27,0)),0)</f>
        <v>900</v>
      </c>
      <c r="O7" s="18" t="n">
        <f aca="false">M7-N7</f>
        <v>761.058</v>
      </c>
      <c r="P7" s="18" t="n">
        <f aca="false">M7*IFERROR(INDEX(Calculations!$F$6:$F$11,MATCH(I7,Calculations!$E$6:$E$11,0)),0.1)</f>
        <v>132.88464</v>
      </c>
      <c r="Q7" s="18" t="n">
        <f aca="false">O7-P7</f>
        <v>628.17336</v>
      </c>
      <c r="R7" s="14" t="s">
        <v>124</v>
      </c>
      <c r="S7" s="14" t="s">
        <v>125</v>
      </c>
    </row>
    <row r="8" customFormat="false" ht="15" hidden="false" customHeight="false" outlineLevel="0" collapsed="false">
      <c r="A8" s="14" t="s">
        <v>153</v>
      </c>
      <c r="B8" s="15" t="n">
        <v>45872</v>
      </c>
      <c r="C8" s="14" t="s">
        <v>154</v>
      </c>
      <c r="D8" s="14" t="s">
        <v>155</v>
      </c>
      <c r="E8" s="14" t="s">
        <v>156</v>
      </c>
      <c r="F8" s="14" t="s">
        <v>157</v>
      </c>
      <c r="G8" s="14" t="s">
        <v>134</v>
      </c>
      <c r="H8" s="14" t="s">
        <v>58</v>
      </c>
      <c r="I8" s="14" t="str">
        <f aca="false">IFERROR(INDEX(Calculations!$B$6:$B$27,MATCH(H8,Calculations!$A$6:$A$27,0)),"Unknown")</f>
        <v>Mobile Accessories</v>
      </c>
      <c r="J8" s="14" t="n">
        <v>2</v>
      </c>
      <c r="K8" s="16" t="n">
        <v>516.37</v>
      </c>
      <c r="L8" s="17" t="n">
        <v>0.15</v>
      </c>
      <c r="M8" s="18" t="n">
        <f aca="false">J8*K8*(1-L8)</f>
        <v>877.829</v>
      </c>
      <c r="N8" s="18" t="n">
        <f aca="false">J8*IFERROR(INDEX(Calculations!$C$6:$C$27,MATCH(H8,Calculations!$A$6:$A$27,0)),0)</f>
        <v>440</v>
      </c>
      <c r="O8" s="18" t="n">
        <f aca="false">M8-N8</f>
        <v>437.829</v>
      </c>
      <c r="P8" s="18" t="n">
        <f aca="false">M8*IFERROR(INDEX(Calculations!$F$6:$F$11,MATCH(I8,Calculations!$E$6:$E$11,0)),0.1)</f>
        <v>105.33948</v>
      </c>
      <c r="Q8" s="18" t="n">
        <f aca="false">O8-P8</f>
        <v>332.48952</v>
      </c>
      <c r="R8" s="14" t="s">
        <v>124</v>
      </c>
      <c r="S8" s="14" t="s">
        <v>125</v>
      </c>
    </row>
    <row r="9" customFormat="false" ht="15" hidden="false" customHeight="false" outlineLevel="0" collapsed="false">
      <c r="A9" s="14" t="s">
        <v>158</v>
      </c>
      <c r="B9" s="15" t="n">
        <v>45872</v>
      </c>
      <c r="C9" s="14" t="s">
        <v>159</v>
      </c>
      <c r="D9" s="14" t="s">
        <v>160</v>
      </c>
      <c r="E9" s="14" t="s">
        <v>156</v>
      </c>
      <c r="F9" s="14" t="s">
        <v>157</v>
      </c>
      <c r="G9" s="14" t="s">
        <v>161</v>
      </c>
      <c r="H9" s="14" t="s">
        <v>74</v>
      </c>
      <c r="I9" s="14" t="str">
        <f aca="false">IFERROR(INDEX(Calculations!$B$6:$B$27,MATCH(H9,Calculations!$A$6:$A$27,0)),"Unknown")</f>
        <v>Wearables</v>
      </c>
      <c r="J9" s="14" t="n">
        <v>1</v>
      </c>
      <c r="K9" s="16" t="n">
        <v>6502.24</v>
      </c>
      <c r="L9" s="17" t="n">
        <v>0.05</v>
      </c>
      <c r="M9" s="18" t="n">
        <f aca="false">J9*K9*(1-L9)</f>
        <v>6177.128</v>
      </c>
      <c r="N9" s="18" t="n">
        <f aca="false">J9*IFERROR(INDEX(Calculations!$C$6:$C$27,MATCH(H9,Calculations!$A$6:$A$27,0)),0)</f>
        <v>3800</v>
      </c>
      <c r="O9" s="18" t="n">
        <f aca="false">M9-N9</f>
        <v>2377.128</v>
      </c>
      <c r="P9" s="18" t="n">
        <f aca="false">M9*IFERROR(INDEX(Calculations!$F$6:$F$11,MATCH(I9,Calculations!$E$6:$E$11,0)),0.1)</f>
        <v>555.94152</v>
      </c>
      <c r="Q9" s="18" t="n">
        <f aca="false">O9-P9</f>
        <v>1821.18648</v>
      </c>
      <c r="R9" s="14" t="s">
        <v>124</v>
      </c>
      <c r="S9" s="14" t="s">
        <v>125</v>
      </c>
    </row>
    <row r="10" customFormat="false" ht="15" hidden="false" customHeight="false" outlineLevel="0" collapsed="false">
      <c r="A10" s="14" t="s">
        <v>162</v>
      </c>
      <c r="B10" s="15" t="n">
        <v>45873</v>
      </c>
      <c r="C10" s="14" t="s">
        <v>163</v>
      </c>
      <c r="D10" s="14" t="s">
        <v>164</v>
      </c>
      <c r="E10" s="14" t="s">
        <v>121</v>
      </c>
      <c r="F10" s="14" t="s">
        <v>129</v>
      </c>
      <c r="G10" s="14" t="s">
        <v>161</v>
      </c>
      <c r="H10" s="14" t="s">
        <v>65</v>
      </c>
      <c r="I10" s="14" t="str">
        <f aca="false">IFERROR(INDEX(Calculations!$B$6:$B$27,MATCH(H10,Calculations!$A$6:$A$27,0)),"Unknown")</f>
        <v>Computer Peripherals</v>
      </c>
      <c r="J10" s="14" t="n">
        <v>6</v>
      </c>
      <c r="K10" s="16" t="n">
        <v>3126.02</v>
      </c>
      <c r="L10" s="17" t="n">
        <v>0.05</v>
      </c>
      <c r="M10" s="18" t="n">
        <f aca="false">J10*K10*(1-L10)</f>
        <v>17818.314</v>
      </c>
      <c r="N10" s="18" t="n">
        <f aca="false">J10*IFERROR(INDEX(Calculations!$C$6:$C$27,MATCH(H10,Calculations!$A$6:$A$27,0)),0)</f>
        <v>9600</v>
      </c>
      <c r="O10" s="18" t="n">
        <f aca="false">M10-N10</f>
        <v>8218.314</v>
      </c>
      <c r="P10" s="18" t="n">
        <f aca="false">M10*IFERROR(INDEX(Calculations!$F$6:$F$11,MATCH(I10,Calculations!$E$6:$E$11,0)),0.1)</f>
        <v>1425.46512</v>
      </c>
      <c r="Q10" s="18" t="n">
        <f aca="false">O10-P10</f>
        <v>6792.84888</v>
      </c>
      <c r="R10" s="14" t="s">
        <v>165</v>
      </c>
      <c r="S10" s="14" t="s">
        <v>148</v>
      </c>
    </row>
    <row r="11" customFormat="false" ht="15" hidden="false" customHeight="false" outlineLevel="0" collapsed="false">
      <c r="A11" s="14" t="s">
        <v>166</v>
      </c>
      <c r="B11" s="15" t="n">
        <v>45873</v>
      </c>
      <c r="C11" s="14" t="s">
        <v>167</v>
      </c>
      <c r="D11" s="14" t="s">
        <v>168</v>
      </c>
      <c r="E11" s="14" t="s">
        <v>156</v>
      </c>
      <c r="F11" s="14" t="s">
        <v>169</v>
      </c>
      <c r="G11" s="14" t="s">
        <v>170</v>
      </c>
      <c r="H11" s="14" t="s">
        <v>75</v>
      </c>
      <c r="I11" s="14" t="str">
        <f aca="false">IFERROR(INDEX(Calculations!$B$6:$B$27,MATCH(H11,Calculations!$A$6:$A$27,0)),"Unknown")</f>
        <v>Wearables</v>
      </c>
      <c r="J11" s="14" t="n">
        <v>4</v>
      </c>
      <c r="K11" s="16" t="n">
        <v>3229.52</v>
      </c>
      <c r="L11" s="17" t="n">
        <v>0.05</v>
      </c>
      <c r="M11" s="18" t="n">
        <f aca="false">J11*K11*(1-L11)</f>
        <v>12272.176</v>
      </c>
      <c r="N11" s="18" t="n">
        <f aca="false">J11*IFERROR(INDEX(Calculations!$C$6:$C$27,MATCH(H11,Calculations!$A$6:$A$27,0)),0)</f>
        <v>7600</v>
      </c>
      <c r="O11" s="18" t="n">
        <f aca="false">M11-N11</f>
        <v>4672.176</v>
      </c>
      <c r="P11" s="18" t="n">
        <f aca="false">M11*IFERROR(INDEX(Calculations!$F$6:$F$11,MATCH(I11,Calculations!$E$6:$E$11,0)),0.1)</f>
        <v>1104.49584</v>
      </c>
      <c r="Q11" s="18" t="n">
        <f aca="false">O11-P11</f>
        <v>3567.68016</v>
      </c>
      <c r="R11" s="14" t="s">
        <v>124</v>
      </c>
      <c r="S11" s="14" t="s">
        <v>125</v>
      </c>
    </row>
    <row r="12" customFormat="false" ht="15" hidden="false" customHeight="false" outlineLevel="0" collapsed="false">
      <c r="A12" s="14" t="s">
        <v>171</v>
      </c>
      <c r="B12" s="15" t="n">
        <v>45874</v>
      </c>
      <c r="C12" s="14" t="s">
        <v>172</v>
      </c>
      <c r="D12" s="14" t="s">
        <v>173</v>
      </c>
      <c r="E12" s="14" t="s">
        <v>145</v>
      </c>
      <c r="F12" s="14" t="s">
        <v>174</v>
      </c>
      <c r="G12" s="14" t="s">
        <v>175</v>
      </c>
      <c r="H12" s="14" t="s">
        <v>70</v>
      </c>
      <c r="I12" s="14" t="str">
        <f aca="false">IFERROR(INDEX(Calculations!$B$6:$B$27,MATCH(H12,Calculations!$A$6:$A$27,0)),"Unknown")</f>
        <v>Smart Home</v>
      </c>
      <c r="J12" s="14" t="n">
        <v>3</v>
      </c>
      <c r="K12" s="16" t="n">
        <v>4100.45</v>
      </c>
      <c r="L12" s="17" t="n">
        <v>0.2</v>
      </c>
      <c r="M12" s="18" t="n">
        <f aca="false">J12*K12*(1-L12)</f>
        <v>9841.08</v>
      </c>
      <c r="N12" s="18" t="n">
        <f aca="false">J12*IFERROR(INDEX(Calculations!$C$6:$C$27,MATCH(H12,Calculations!$A$6:$A$27,0)),0)</f>
        <v>6600</v>
      </c>
      <c r="O12" s="18" t="n">
        <f aca="false">M12-N12</f>
        <v>3241.08</v>
      </c>
      <c r="P12" s="18" t="n">
        <f aca="false">M12*IFERROR(INDEX(Calculations!$F$6:$F$11,MATCH(I12,Calculations!$E$6:$E$11,0)),0.1)</f>
        <v>1082.5188</v>
      </c>
      <c r="Q12" s="18" t="n">
        <f aca="false">O12-P12</f>
        <v>2158.5612</v>
      </c>
      <c r="R12" s="14" t="s">
        <v>124</v>
      </c>
      <c r="S12" s="14" t="s">
        <v>125</v>
      </c>
    </row>
    <row r="13" customFormat="false" ht="15" hidden="false" customHeight="false" outlineLevel="0" collapsed="false">
      <c r="A13" s="14" t="s">
        <v>176</v>
      </c>
      <c r="B13" s="15" t="n">
        <v>45874</v>
      </c>
      <c r="C13" s="14" t="s">
        <v>177</v>
      </c>
      <c r="D13" s="14" t="s">
        <v>178</v>
      </c>
      <c r="E13" s="14" t="s">
        <v>121</v>
      </c>
      <c r="F13" s="14" t="s">
        <v>129</v>
      </c>
      <c r="G13" s="14" t="s">
        <v>170</v>
      </c>
      <c r="H13" s="14" t="s">
        <v>77</v>
      </c>
      <c r="I13" s="14" t="str">
        <f aca="false">IFERROR(INDEX(Calculations!$B$6:$B$27,MATCH(H13,Calculations!$A$6:$A$27,0)),"Unknown")</f>
        <v>Cameras</v>
      </c>
      <c r="J13" s="14" t="n">
        <v>5</v>
      </c>
      <c r="K13" s="16" t="n">
        <v>5563.83</v>
      </c>
      <c r="L13" s="17" t="n">
        <v>0.1</v>
      </c>
      <c r="M13" s="18" t="n">
        <f aca="false">J13*K13*(1-L13)</f>
        <v>25037.235</v>
      </c>
      <c r="N13" s="18" t="n">
        <f aca="false">J13*IFERROR(INDEX(Calculations!$C$6:$C$27,MATCH(H13,Calculations!$A$6:$A$27,0)),0)</f>
        <v>15500</v>
      </c>
      <c r="O13" s="18" t="n">
        <f aca="false">M13-N13</f>
        <v>9537.235</v>
      </c>
      <c r="P13" s="18" t="n">
        <f aca="false">M13*IFERROR(INDEX(Calculations!$F$6:$F$11,MATCH(I13,Calculations!$E$6:$E$11,0)),0.1)</f>
        <v>1877.792625</v>
      </c>
      <c r="Q13" s="18" t="n">
        <f aca="false">O13-P13</f>
        <v>7659.442375</v>
      </c>
      <c r="R13" s="14" t="s">
        <v>130</v>
      </c>
      <c r="S13" s="14" t="s">
        <v>125</v>
      </c>
    </row>
    <row r="14" customFormat="false" ht="15" hidden="false" customHeight="false" outlineLevel="0" collapsed="false">
      <c r="A14" s="14" t="s">
        <v>179</v>
      </c>
      <c r="B14" s="15" t="n">
        <v>45874</v>
      </c>
      <c r="C14" s="14" t="s">
        <v>180</v>
      </c>
      <c r="D14" s="14" t="s">
        <v>181</v>
      </c>
      <c r="E14" s="14" t="s">
        <v>139</v>
      </c>
      <c r="F14" s="14" t="s">
        <v>140</v>
      </c>
      <c r="G14" s="14" t="s">
        <v>134</v>
      </c>
      <c r="H14" s="14" t="s">
        <v>52</v>
      </c>
      <c r="I14" s="14" t="str">
        <f aca="false">IFERROR(INDEX(Calculations!$B$6:$B$27,MATCH(H14,Calculations!$A$6:$A$27,0)),"Unknown")</f>
        <v>Audio</v>
      </c>
      <c r="J14" s="14" t="n">
        <v>3</v>
      </c>
      <c r="K14" s="16" t="n">
        <v>1848.94</v>
      </c>
      <c r="L14" s="17" t="n">
        <v>0.05</v>
      </c>
      <c r="M14" s="18" t="n">
        <f aca="false">J14*K14*(1-L14)</f>
        <v>5269.479</v>
      </c>
      <c r="N14" s="18" t="n">
        <f aca="false">J14*IFERROR(INDEX(Calculations!$C$6:$C$27,MATCH(H14,Calculations!$A$6:$A$27,0)),0)</f>
        <v>2700</v>
      </c>
      <c r="O14" s="18" t="n">
        <f aca="false">M14-N14</f>
        <v>2569.479</v>
      </c>
      <c r="P14" s="18" t="n">
        <f aca="false">M14*IFERROR(INDEX(Calculations!$F$6:$F$11,MATCH(I14,Calculations!$E$6:$E$11,0)),0.1)</f>
        <v>526.9479</v>
      </c>
      <c r="Q14" s="18" t="n">
        <f aca="false">O14-P14</f>
        <v>2042.5311</v>
      </c>
      <c r="R14" s="14" t="s">
        <v>124</v>
      </c>
      <c r="S14" s="14" t="s">
        <v>125</v>
      </c>
    </row>
    <row r="15" customFormat="false" ht="15" hidden="false" customHeight="false" outlineLevel="0" collapsed="false">
      <c r="A15" s="14" t="s">
        <v>182</v>
      </c>
      <c r="B15" s="15" t="n">
        <v>45875</v>
      </c>
      <c r="C15" s="14" t="s">
        <v>183</v>
      </c>
      <c r="D15" s="14" t="s">
        <v>184</v>
      </c>
      <c r="E15" s="14" t="s">
        <v>121</v>
      </c>
      <c r="F15" s="14" t="s">
        <v>122</v>
      </c>
      <c r="G15" s="14" t="s">
        <v>161</v>
      </c>
      <c r="H15" s="14" t="s">
        <v>74</v>
      </c>
      <c r="I15" s="14" t="str">
        <f aca="false">IFERROR(INDEX(Calculations!$B$6:$B$27,MATCH(H15,Calculations!$A$6:$A$27,0)),"Unknown")</f>
        <v>Wearables</v>
      </c>
      <c r="J15" s="14" t="n">
        <v>3</v>
      </c>
      <c r="K15" s="16" t="n">
        <v>6599.22</v>
      </c>
      <c r="L15" s="17" t="n">
        <v>0</v>
      </c>
      <c r="M15" s="18" t="n">
        <f aca="false">J15*K15*(1-L15)</f>
        <v>19797.66</v>
      </c>
      <c r="N15" s="18" t="n">
        <f aca="false">J15*IFERROR(INDEX(Calculations!$C$6:$C$27,MATCH(H15,Calculations!$A$6:$A$27,0)),0)</f>
        <v>11400</v>
      </c>
      <c r="O15" s="18" t="n">
        <f aca="false">M15-N15</f>
        <v>8397.66</v>
      </c>
      <c r="P15" s="18" t="n">
        <f aca="false">M15*IFERROR(INDEX(Calculations!$F$6:$F$11,MATCH(I15,Calculations!$E$6:$E$11,0)),0.1)</f>
        <v>1781.7894</v>
      </c>
      <c r="Q15" s="18" t="n">
        <f aca="false">O15-P15</f>
        <v>6615.8706</v>
      </c>
      <c r="R15" s="14" t="s">
        <v>130</v>
      </c>
      <c r="S15" s="14" t="s">
        <v>125</v>
      </c>
    </row>
    <row r="16" customFormat="false" ht="15" hidden="false" customHeight="false" outlineLevel="0" collapsed="false">
      <c r="A16" s="14" t="s">
        <v>185</v>
      </c>
      <c r="B16" s="15" t="n">
        <v>45876</v>
      </c>
      <c r="C16" s="14" t="s">
        <v>186</v>
      </c>
      <c r="D16" s="14" t="s">
        <v>187</v>
      </c>
      <c r="E16" s="14" t="s">
        <v>139</v>
      </c>
      <c r="F16" s="14" t="s">
        <v>140</v>
      </c>
      <c r="G16" s="14" t="s">
        <v>161</v>
      </c>
      <c r="H16" s="14" t="s">
        <v>68</v>
      </c>
      <c r="I16" s="14" t="str">
        <f aca="false">IFERROR(INDEX(Calculations!$B$6:$B$27,MATCH(H16,Calculations!$A$6:$A$27,0)),"Unknown")</f>
        <v>Computer Peripherals</v>
      </c>
      <c r="J16" s="14" t="n">
        <v>2</v>
      </c>
      <c r="K16" s="16" t="n">
        <v>1021.31</v>
      </c>
      <c r="L16" s="17" t="n">
        <v>0.1</v>
      </c>
      <c r="M16" s="18" t="n">
        <f aca="false">J16*K16*(1-L16)</f>
        <v>1838.358</v>
      </c>
      <c r="N16" s="18" t="n">
        <f aca="false">J16*IFERROR(INDEX(Calculations!$C$6:$C$27,MATCH(H16,Calculations!$A$6:$A$27,0)),0)</f>
        <v>1000</v>
      </c>
      <c r="O16" s="18" t="n">
        <f aca="false">M16-N16</f>
        <v>838.358</v>
      </c>
      <c r="P16" s="18" t="n">
        <f aca="false">M16*IFERROR(INDEX(Calculations!$F$6:$F$11,MATCH(I16,Calculations!$E$6:$E$11,0)),0.1)</f>
        <v>147.06864</v>
      </c>
      <c r="Q16" s="18" t="n">
        <f aca="false">O16-P16</f>
        <v>691.28936</v>
      </c>
      <c r="R16" s="14" t="s">
        <v>124</v>
      </c>
      <c r="S16" s="14" t="s">
        <v>148</v>
      </c>
    </row>
    <row r="17" customFormat="false" ht="15" hidden="false" customHeight="false" outlineLevel="0" collapsed="false">
      <c r="A17" s="14" t="s">
        <v>188</v>
      </c>
      <c r="B17" s="15" t="n">
        <v>45876</v>
      </c>
      <c r="C17" s="14" t="s">
        <v>189</v>
      </c>
      <c r="D17" s="14" t="s">
        <v>190</v>
      </c>
      <c r="E17" s="14" t="s">
        <v>156</v>
      </c>
      <c r="F17" s="14" t="s">
        <v>169</v>
      </c>
      <c r="G17" s="14" t="s">
        <v>147</v>
      </c>
      <c r="H17" s="14" t="s">
        <v>54</v>
      </c>
      <c r="I17" s="14" t="str">
        <f aca="false">IFERROR(INDEX(Calculations!$B$6:$B$27,MATCH(H17,Calculations!$A$6:$A$27,0)),"Unknown")</f>
        <v>Audio</v>
      </c>
      <c r="J17" s="14" t="n">
        <v>3</v>
      </c>
      <c r="K17" s="16" t="n">
        <v>2894.93</v>
      </c>
      <c r="L17" s="17" t="n">
        <v>0.15</v>
      </c>
      <c r="M17" s="18" t="n">
        <f aca="false">J17*K17*(1-L17)</f>
        <v>7382.0715</v>
      </c>
      <c r="N17" s="18" t="n">
        <f aca="false">J17*IFERROR(INDEX(Calculations!$C$6:$C$27,MATCH(H17,Calculations!$A$6:$A$27,0)),0)</f>
        <v>4200</v>
      </c>
      <c r="O17" s="18" t="n">
        <f aca="false">M17-N17</f>
        <v>3182.0715</v>
      </c>
      <c r="P17" s="18" t="n">
        <f aca="false">M17*IFERROR(INDEX(Calculations!$F$6:$F$11,MATCH(I17,Calculations!$E$6:$E$11,0)),0.1)</f>
        <v>738.20715</v>
      </c>
      <c r="Q17" s="18" t="n">
        <f aca="false">O17-P17</f>
        <v>2443.86435</v>
      </c>
      <c r="R17" s="14" t="s">
        <v>124</v>
      </c>
      <c r="S17" s="14" t="s">
        <v>125</v>
      </c>
    </row>
    <row r="18" customFormat="false" ht="15" hidden="false" customHeight="false" outlineLevel="0" collapsed="false">
      <c r="A18" s="14" t="s">
        <v>191</v>
      </c>
      <c r="B18" s="15" t="n">
        <v>45877</v>
      </c>
      <c r="C18" s="14" t="s">
        <v>192</v>
      </c>
      <c r="D18" s="14" t="s">
        <v>193</v>
      </c>
      <c r="E18" s="14" t="s">
        <v>194</v>
      </c>
      <c r="F18" s="14" t="s">
        <v>195</v>
      </c>
      <c r="G18" s="14" t="s">
        <v>134</v>
      </c>
      <c r="H18" s="14" t="s">
        <v>66</v>
      </c>
      <c r="I18" s="14" t="str">
        <f aca="false">IFERROR(INDEX(Calculations!$B$6:$B$27,MATCH(H18,Calculations!$A$6:$A$27,0)),"Unknown")</f>
        <v>Computer Peripherals</v>
      </c>
      <c r="J18" s="14" t="n">
        <v>3</v>
      </c>
      <c r="K18" s="16" t="n">
        <v>13087.08</v>
      </c>
      <c r="L18" s="17" t="n">
        <v>0.05</v>
      </c>
      <c r="M18" s="18" t="n">
        <f aca="false">J18*K18*(1-L18)</f>
        <v>37298.178</v>
      </c>
      <c r="N18" s="18" t="n">
        <f aca="false">J18*IFERROR(INDEX(Calculations!$C$6:$C$27,MATCH(H18,Calculations!$A$6:$A$27,0)),0)</f>
        <v>21600</v>
      </c>
      <c r="O18" s="18" t="n">
        <f aca="false">M18-N18</f>
        <v>15698.178</v>
      </c>
      <c r="P18" s="18" t="n">
        <f aca="false">M18*IFERROR(INDEX(Calculations!$F$6:$F$11,MATCH(I18,Calculations!$E$6:$E$11,0)),0.1)</f>
        <v>2983.85424</v>
      </c>
      <c r="Q18" s="18" t="n">
        <f aca="false">O18-P18</f>
        <v>12714.32376</v>
      </c>
      <c r="R18" s="14" t="s">
        <v>130</v>
      </c>
      <c r="S18" s="14" t="s">
        <v>148</v>
      </c>
    </row>
    <row r="19" customFormat="false" ht="15" hidden="false" customHeight="false" outlineLevel="0" collapsed="false">
      <c r="A19" s="14" t="s">
        <v>196</v>
      </c>
      <c r="B19" s="15" t="n">
        <v>45878</v>
      </c>
      <c r="C19" s="14" t="s">
        <v>197</v>
      </c>
      <c r="D19" s="14" t="s">
        <v>198</v>
      </c>
      <c r="E19" s="14" t="s">
        <v>121</v>
      </c>
      <c r="F19" s="14" t="s">
        <v>129</v>
      </c>
      <c r="G19" s="14" t="s">
        <v>123</v>
      </c>
      <c r="H19" s="14" t="s">
        <v>65</v>
      </c>
      <c r="I19" s="14" t="str">
        <f aca="false">IFERROR(INDEX(Calculations!$B$6:$B$27,MATCH(H19,Calculations!$A$6:$A$27,0)),"Unknown")</f>
        <v>Computer Peripherals</v>
      </c>
      <c r="J19" s="14" t="n">
        <v>3</v>
      </c>
      <c r="K19" s="16" t="n">
        <v>3303.87</v>
      </c>
      <c r="L19" s="17" t="n">
        <v>0</v>
      </c>
      <c r="M19" s="18" t="n">
        <f aca="false">J19*K19*(1-L19)</f>
        <v>9911.61</v>
      </c>
      <c r="N19" s="18" t="n">
        <f aca="false">J19*IFERROR(INDEX(Calculations!$C$6:$C$27,MATCH(H19,Calculations!$A$6:$A$27,0)),0)</f>
        <v>4800</v>
      </c>
      <c r="O19" s="18" t="n">
        <f aca="false">M19-N19</f>
        <v>5111.61</v>
      </c>
      <c r="P19" s="18" t="n">
        <f aca="false">M19*IFERROR(INDEX(Calculations!$F$6:$F$11,MATCH(I19,Calculations!$E$6:$E$11,0)),0.1)</f>
        <v>792.9288</v>
      </c>
      <c r="Q19" s="18" t="n">
        <f aca="false">O19-P19</f>
        <v>4318.6812</v>
      </c>
      <c r="R19" s="14" t="s">
        <v>130</v>
      </c>
      <c r="S19" s="14" t="s">
        <v>125</v>
      </c>
    </row>
    <row r="20" customFormat="false" ht="15" hidden="false" customHeight="false" outlineLevel="0" collapsed="false">
      <c r="A20" s="14" t="s">
        <v>199</v>
      </c>
      <c r="B20" s="15" t="n">
        <v>45879</v>
      </c>
      <c r="C20" s="14" t="s">
        <v>200</v>
      </c>
      <c r="D20" s="14" t="s">
        <v>201</v>
      </c>
      <c r="E20" s="14" t="s">
        <v>139</v>
      </c>
      <c r="F20" s="14" t="s">
        <v>140</v>
      </c>
      <c r="G20" s="14" t="s">
        <v>170</v>
      </c>
      <c r="H20" s="14" t="s">
        <v>69</v>
      </c>
      <c r="I20" s="14" t="str">
        <f aca="false">IFERROR(INDEX(Calculations!$B$6:$B$27,MATCH(H20,Calculations!$A$6:$A$27,0)),"Unknown")</f>
        <v>Smart Home</v>
      </c>
      <c r="J20" s="14" t="n">
        <v>5</v>
      </c>
      <c r="K20" s="16" t="n">
        <v>822.15</v>
      </c>
      <c r="L20" s="17" t="n">
        <v>0.05</v>
      </c>
      <c r="M20" s="18" t="n">
        <f aca="false">J20*K20*(1-L20)</f>
        <v>3905.2125</v>
      </c>
      <c r="N20" s="18" t="n">
        <f aca="false">J20*IFERROR(INDEX(Calculations!$C$6:$C$27,MATCH(H20,Calculations!$A$6:$A$27,0)),0)</f>
        <v>1750</v>
      </c>
      <c r="O20" s="18" t="n">
        <f aca="false">M20-N20</f>
        <v>2155.2125</v>
      </c>
      <c r="P20" s="18" t="n">
        <f aca="false">M20*IFERROR(INDEX(Calculations!$F$6:$F$11,MATCH(I20,Calculations!$E$6:$E$11,0)),0.1)</f>
        <v>429.573375</v>
      </c>
      <c r="Q20" s="18" t="n">
        <f aca="false">O20-P20</f>
        <v>1725.639125</v>
      </c>
      <c r="R20" s="14" t="s">
        <v>135</v>
      </c>
      <c r="S20" s="14" t="s">
        <v>125</v>
      </c>
    </row>
    <row r="21" customFormat="false" ht="15" hidden="false" customHeight="false" outlineLevel="0" collapsed="false">
      <c r="A21" s="14" t="s">
        <v>202</v>
      </c>
      <c r="B21" s="15" t="n">
        <v>45879</v>
      </c>
      <c r="C21" s="14" t="s">
        <v>203</v>
      </c>
      <c r="D21" s="14" t="s">
        <v>204</v>
      </c>
      <c r="E21" s="14" t="s">
        <v>194</v>
      </c>
      <c r="F21" s="14" t="s">
        <v>195</v>
      </c>
      <c r="G21" s="14" t="s">
        <v>123</v>
      </c>
      <c r="H21" s="14" t="s">
        <v>73</v>
      </c>
      <c r="I21" s="14" t="str">
        <f aca="false">IFERROR(INDEX(Calculations!$B$6:$B$27,MATCH(H21,Calculations!$A$6:$A$27,0)),"Unknown")</f>
        <v>Wearables</v>
      </c>
      <c r="J21" s="14" t="n">
        <v>3</v>
      </c>
      <c r="K21" s="16" t="n">
        <v>1976.47</v>
      </c>
      <c r="L21" s="17" t="n">
        <v>0.05</v>
      </c>
      <c r="M21" s="18" t="n">
        <f aca="false">J21*K21*(1-L21)</f>
        <v>5632.9395</v>
      </c>
      <c r="N21" s="18" t="n">
        <f aca="false">J21*IFERROR(INDEX(Calculations!$C$6:$C$27,MATCH(H21,Calculations!$A$6:$A$27,0)),0)</f>
        <v>3300</v>
      </c>
      <c r="O21" s="18" t="n">
        <f aca="false">M21-N21</f>
        <v>2332.9395</v>
      </c>
      <c r="P21" s="18" t="n">
        <f aca="false">M21*IFERROR(INDEX(Calculations!$F$6:$F$11,MATCH(I21,Calculations!$E$6:$E$11,0)),0.1)</f>
        <v>506.964555</v>
      </c>
      <c r="Q21" s="18" t="n">
        <f aca="false">O21-P21</f>
        <v>1825.974945</v>
      </c>
      <c r="R21" s="14" t="s">
        <v>124</v>
      </c>
      <c r="S21" s="14" t="s">
        <v>205</v>
      </c>
    </row>
    <row r="22" customFormat="false" ht="15" hidden="false" customHeight="false" outlineLevel="0" collapsed="false">
      <c r="A22" s="14" t="s">
        <v>206</v>
      </c>
      <c r="B22" s="15" t="n">
        <v>45879</v>
      </c>
      <c r="C22" s="14" t="s">
        <v>207</v>
      </c>
      <c r="D22" s="14" t="s">
        <v>208</v>
      </c>
      <c r="E22" s="14" t="s">
        <v>156</v>
      </c>
      <c r="F22" s="14" t="s">
        <v>157</v>
      </c>
      <c r="G22" s="14" t="s">
        <v>209</v>
      </c>
      <c r="H22" s="14" t="s">
        <v>76</v>
      </c>
      <c r="I22" s="14" t="str">
        <f aca="false">IFERROR(INDEX(Calculations!$B$6:$B$27,MATCH(H22,Calculations!$A$6:$A$27,0)),"Unknown")</f>
        <v>Cameras</v>
      </c>
      <c r="J22" s="14" t="n">
        <v>2</v>
      </c>
      <c r="K22" s="16" t="n">
        <v>7220.54</v>
      </c>
      <c r="L22" s="17" t="n">
        <v>0.05</v>
      </c>
      <c r="M22" s="18" t="n">
        <f aca="false">J22*K22*(1-L22)</f>
        <v>13719.026</v>
      </c>
      <c r="N22" s="18" t="n">
        <f aca="false">J22*IFERROR(INDEX(Calculations!$C$6:$C$27,MATCH(H22,Calculations!$A$6:$A$27,0)),0)</f>
        <v>8400</v>
      </c>
      <c r="O22" s="18" t="n">
        <f aca="false">M22-N22</f>
        <v>5319.026</v>
      </c>
      <c r="P22" s="18" t="n">
        <f aca="false">M22*IFERROR(INDEX(Calculations!$F$6:$F$11,MATCH(I22,Calculations!$E$6:$E$11,0)),0.1)</f>
        <v>1028.92695</v>
      </c>
      <c r="Q22" s="18" t="n">
        <f aca="false">O22-P22</f>
        <v>4290.09905</v>
      </c>
      <c r="R22" s="14" t="s">
        <v>165</v>
      </c>
      <c r="S22" s="14" t="s">
        <v>210</v>
      </c>
    </row>
    <row r="23" customFormat="false" ht="15" hidden="false" customHeight="false" outlineLevel="0" collapsed="false">
      <c r="A23" s="14" t="s">
        <v>211</v>
      </c>
      <c r="B23" s="15" t="n">
        <v>45881</v>
      </c>
      <c r="C23" s="14" t="s">
        <v>212</v>
      </c>
      <c r="D23" s="14" t="s">
        <v>213</v>
      </c>
      <c r="E23" s="14" t="s">
        <v>145</v>
      </c>
      <c r="F23" s="14" t="s">
        <v>146</v>
      </c>
      <c r="G23" s="14" t="s">
        <v>161</v>
      </c>
      <c r="H23" s="14" t="s">
        <v>50</v>
      </c>
      <c r="I23" s="14" t="str">
        <f aca="false">IFERROR(INDEX(Calculations!$B$6:$B$27,MATCH(H23,Calculations!$A$6:$A$27,0)),"Unknown")</f>
        <v>Audio</v>
      </c>
      <c r="J23" s="14" t="n">
        <v>2</v>
      </c>
      <c r="K23" s="16" t="n">
        <v>1321.77</v>
      </c>
      <c r="L23" s="17" t="n">
        <v>0.05</v>
      </c>
      <c r="M23" s="18" t="n">
        <f aca="false">J23*K23*(1-L23)</f>
        <v>2511.363</v>
      </c>
      <c r="N23" s="18" t="n">
        <f aca="false">J23*IFERROR(INDEX(Calculations!$C$6:$C$27,MATCH(H23,Calculations!$A$6:$A$27,0)),0)</f>
        <v>1300</v>
      </c>
      <c r="O23" s="18" t="n">
        <f aca="false">M23-N23</f>
        <v>1211.363</v>
      </c>
      <c r="P23" s="18" t="n">
        <f aca="false">M23*IFERROR(INDEX(Calculations!$F$6:$F$11,MATCH(I23,Calculations!$E$6:$E$11,0)),0.1)</f>
        <v>251.1363</v>
      </c>
      <c r="Q23" s="18" t="n">
        <f aca="false">O23-P23</f>
        <v>960.2267</v>
      </c>
      <c r="R23" s="14" t="s">
        <v>124</v>
      </c>
      <c r="S23" s="14" t="s">
        <v>125</v>
      </c>
    </row>
    <row r="24" customFormat="false" ht="15" hidden="false" customHeight="false" outlineLevel="0" collapsed="false">
      <c r="A24" s="14" t="s">
        <v>214</v>
      </c>
      <c r="B24" s="15" t="n">
        <v>45885</v>
      </c>
      <c r="C24" s="14" t="s">
        <v>215</v>
      </c>
      <c r="D24" s="14" t="s">
        <v>216</v>
      </c>
      <c r="E24" s="14" t="s">
        <v>194</v>
      </c>
      <c r="F24" s="14" t="s">
        <v>195</v>
      </c>
      <c r="G24" s="14" t="s">
        <v>123</v>
      </c>
      <c r="H24" s="14" t="s">
        <v>60</v>
      </c>
      <c r="I24" s="14" t="str">
        <f aca="false">IFERROR(INDEX(Calculations!$B$6:$B$27,MATCH(H24,Calculations!$A$6:$A$27,0)),"Unknown")</f>
        <v>Mobile Accessories</v>
      </c>
      <c r="J24" s="14" t="n">
        <v>4</v>
      </c>
      <c r="K24" s="16" t="n">
        <v>250.11</v>
      </c>
      <c r="L24" s="17" t="n">
        <v>0.05</v>
      </c>
      <c r="M24" s="18" t="n">
        <f aca="false">J24*K24*(1-L24)</f>
        <v>950.418</v>
      </c>
      <c r="N24" s="18" t="n">
        <f aca="false">J24*IFERROR(INDEX(Calculations!$C$6:$C$27,MATCH(H24,Calculations!$A$6:$A$27,0)),0)</f>
        <v>360</v>
      </c>
      <c r="O24" s="18" t="n">
        <f aca="false">M24-N24</f>
        <v>590.418</v>
      </c>
      <c r="P24" s="18" t="n">
        <f aca="false">M24*IFERROR(INDEX(Calculations!$F$6:$F$11,MATCH(I24,Calculations!$E$6:$E$11,0)),0.1)</f>
        <v>114.05016</v>
      </c>
      <c r="Q24" s="18" t="n">
        <f aca="false">O24-P24</f>
        <v>476.36784</v>
      </c>
      <c r="R24" s="14" t="s">
        <v>130</v>
      </c>
      <c r="S24" s="14" t="s">
        <v>125</v>
      </c>
    </row>
    <row r="25" customFormat="false" ht="15" hidden="false" customHeight="false" outlineLevel="0" collapsed="false">
      <c r="A25" s="14" t="s">
        <v>217</v>
      </c>
      <c r="B25" s="15" t="n">
        <v>45886</v>
      </c>
      <c r="C25" s="14" t="s">
        <v>218</v>
      </c>
      <c r="D25" s="14" t="s">
        <v>219</v>
      </c>
      <c r="E25" s="14" t="s">
        <v>145</v>
      </c>
      <c r="F25" s="14" t="s">
        <v>174</v>
      </c>
      <c r="G25" s="14" t="s">
        <v>123</v>
      </c>
      <c r="H25" s="14" t="s">
        <v>56</v>
      </c>
      <c r="I25" s="14" t="str">
        <f aca="false">IFERROR(INDEX(Calculations!$B$6:$B$27,MATCH(H25,Calculations!$A$6:$A$27,0)),"Unknown")</f>
        <v>Audio</v>
      </c>
      <c r="J25" s="14" t="n">
        <v>3</v>
      </c>
      <c r="K25" s="16" t="n">
        <v>900.86</v>
      </c>
      <c r="L25" s="17" t="n">
        <v>0.1</v>
      </c>
      <c r="M25" s="18" t="n">
        <f aca="false">J25*K25*(1-L25)</f>
        <v>2432.322</v>
      </c>
      <c r="N25" s="18" t="n">
        <f aca="false">J25*IFERROR(INDEX(Calculations!$C$6:$C$27,MATCH(H25,Calculations!$A$6:$A$27,0)),0)</f>
        <v>1350</v>
      </c>
      <c r="O25" s="18" t="n">
        <f aca="false">M25-N25</f>
        <v>1082.322</v>
      </c>
      <c r="P25" s="18" t="n">
        <f aca="false">M25*IFERROR(INDEX(Calculations!$F$6:$F$11,MATCH(I25,Calculations!$E$6:$E$11,0)),0.1)</f>
        <v>243.2322</v>
      </c>
      <c r="Q25" s="18" t="n">
        <f aca="false">O25-P25</f>
        <v>839.0898</v>
      </c>
      <c r="R25" s="14" t="s">
        <v>130</v>
      </c>
      <c r="S25" s="14" t="s">
        <v>125</v>
      </c>
    </row>
    <row r="26" customFormat="false" ht="15" hidden="false" customHeight="false" outlineLevel="0" collapsed="false">
      <c r="A26" s="14" t="s">
        <v>220</v>
      </c>
      <c r="B26" s="15" t="n">
        <v>45887</v>
      </c>
      <c r="C26" s="14" t="s">
        <v>221</v>
      </c>
      <c r="D26" s="14" t="s">
        <v>222</v>
      </c>
      <c r="E26" s="14" t="s">
        <v>156</v>
      </c>
      <c r="F26" s="14" t="s">
        <v>169</v>
      </c>
      <c r="G26" s="14" t="s">
        <v>209</v>
      </c>
      <c r="H26" s="14" t="s">
        <v>72</v>
      </c>
      <c r="I26" s="14" t="str">
        <f aca="false">IFERROR(INDEX(Calculations!$B$6:$B$27,MATCH(H26,Calculations!$A$6:$A$27,0)),"Unknown")</f>
        <v>Smart Home</v>
      </c>
      <c r="J26" s="14" t="n">
        <v>5</v>
      </c>
      <c r="K26" s="16" t="n">
        <v>4559.54</v>
      </c>
      <c r="L26" s="17" t="n">
        <v>0.1</v>
      </c>
      <c r="M26" s="18" t="n">
        <f aca="false">J26*K26*(1-L26)</f>
        <v>20517.93</v>
      </c>
      <c r="N26" s="18" t="n">
        <f aca="false">J26*IFERROR(INDEX(Calculations!$C$6:$C$27,MATCH(H26,Calculations!$A$6:$A$27,0)),0)</f>
        <v>13000</v>
      </c>
      <c r="O26" s="18" t="n">
        <f aca="false">M26-N26</f>
        <v>7517.93</v>
      </c>
      <c r="P26" s="18" t="n">
        <f aca="false">M26*IFERROR(INDEX(Calculations!$F$6:$F$11,MATCH(I26,Calculations!$E$6:$E$11,0)),0.1)</f>
        <v>2256.9723</v>
      </c>
      <c r="Q26" s="18" t="n">
        <f aca="false">O26-P26</f>
        <v>5260.9577</v>
      </c>
      <c r="R26" s="14" t="s">
        <v>124</v>
      </c>
      <c r="S26" s="14" t="s">
        <v>210</v>
      </c>
    </row>
    <row r="27" customFormat="false" ht="15" hidden="false" customHeight="false" outlineLevel="0" collapsed="false">
      <c r="A27" s="14" t="s">
        <v>223</v>
      </c>
      <c r="B27" s="15" t="n">
        <v>45887</v>
      </c>
      <c r="C27" s="14" t="s">
        <v>224</v>
      </c>
      <c r="D27" s="14" t="s">
        <v>225</v>
      </c>
      <c r="E27" s="14" t="s">
        <v>121</v>
      </c>
      <c r="F27" s="14" t="s">
        <v>122</v>
      </c>
      <c r="G27" s="14" t="s">
        <v>161</v>
      </c>
      <c r="H27" s="14" t="s">
        <v>54</v>
      </c>
      <c r="I27" s="14" t="str">
        <f aca="false">IFERROR(INDEX(Calculations!$B$6:$B$27,MATCH(H27,Calculations!$A$6:$A$27,0)),"Unknown")</f>
        <v>Audio</v>
      </c>
      <c r="J27" s="14" t="n">
        <v>1</v>
      </c>
      <c r="K27" s="16" t="n">
        <v>2745.51</v>
      </c>
      <c r="L27" s="17" t="n">
        <v>0</v>
      </c>
      <c r="M27" s="18" t="n">
        <f aca="false">J27*K27*(1-L27)</f>
        <v>2745.51</v>
      </c>
      <c r="N27" s="18" t="n">
        <f aca="false">J27*IFERROR(INDEX(Calculations!$C$6:$C$27,MATCH(H27,Calculations!$A$6:$A$27,0)),0)</f>
        <v>1400</v>
      </c>
      <c r="O27" s="18" t="n">
        <f aca="false">M27-N27</f>
        <v>1345.51</v>
      </c>
      <c r="P27" s="18" t="n">
        <f aca="false">M27*IFERROR(INDEX(Calculations!$F$6:$F$11,MATCH(I27,Calculations!$E$6:$E$11,0)),0.1)</f>
        <v>274.551</v>
      </c>
      <c r="Q27" s="18" t="n">
        <f aca="false">O27-P27</f>
        <v>1070.959</v>
      </c>
      <c r="R27" s="14" t="s">
        <v>124</v>
      </c>
      <c r="S27" s="14" t="s">
        <v>205</v>
      </c>
    </row>
    <row r="28" customFormat="false" ht="15" hidden="false" customHeight="false" outlineLevel="0" collapsed="false">
      <c r="A28" s="14" t="s">
        <v>226</v>
      </c>
      <c r="B28" s="15" t="n">
        <v>45888</v>
      </c>
      <c r="C28" s="14" t="s">
        <v>227</v>
      </c>
      <c r="D28" s="14" t="s">
        <v>228</v>
      </c>
      <c r="E28" s="14" t="s">
        <v>145</v>
      </c>
      <c r="F28" s="14" t="s">
        <v>146</v>
      </c>
      <c r="G28" s="14" t="s">
        <v>134</v>
      </c>
      <c r="H28" s="14" t="s">
        <v>67</v>
      </c>
      <c r="I28" s="14" t="str">
        <f aca="false">IFERROR(INDEX(Calculations!$B$6:$B$27,MATCH(H28,Calculations!$A$6:$A$27,0)),"Unknown")</f>
        <v>Computer Peripherals</v>
      </c>
      <c r="J28" s="14" t="n">
        <v>4</v>
      </c>
      <c r="K28" s="16" t="n">
        <v>1823.03</v>
      </c>
      <c r="L28" s="17" t="n">
        <v>0.15</v>
      </c>
      <c r="M28" s="18" t="n">
        <f aca="false">J28*K28*(1-L28)</f>
        <v>6198.302</v>
      </c>
      <c r="N28" s="18" t="n">
        <f aca="false">J28*IFERROR(INDEX(Calculations!$C$6:$C$27,MATCH(H28,Calculations!$A$6:$A$27,0)),0)</f>
        <v>3600</v>
      </c>
      <c r="O28" s="18" t="n">
        <f aca="false">M28-N28</f>
        <v>2598.302</v>
      </c>
      <c r="P28" s="18" t="n">
        <f aca="false">M28*IFERROR(INDEX(Calculations!$F$6:$F$11,MATCH(I28,Calculations!$E$6:$E$11,0)),0.1)</f>
        <v>495.86416</v>
      </c>
      <c r="Q28" s="18" t="n">
        <f aca="false">O28-P28</f>
        <v>2102.43784</v>
      </c>
      <c r="R28" s="14" t="s">
        <v>130</v>
      </c>
      <c r="S28" s="14" t="s">
        <v>205</v>
      </c>
    </row>
    <row r="29" customFormat="false" ht="15" hidden="false" customHeight="false" outlineLevel="0" collapsed="false">
      <c r="A29" s="14" t="s">
        <v>229</v>
      </c>
      <c r="B29" s="15" t="n">
        <v>45889</v>
      </c>
      <c r="C29" s="14" t="s">
        <v>230</v>
      </c>
      <c r="D29" s="14" t="s">
        <v>231</v>
      </c>
      <c r="E29" s="14" t="s">
        <v>145</v>
      </c>
      <c r="F29" s="14" t="s">
        <v>174</v>
      </c>
      <c r="G29" s="14" t="s">
        <v>141</v>
      </c>
      <c r="H29" s="14" t="s">
        <v>72</v>
      </c>
      <c r="I29" s="14" t="str">
        <f aca="false">IFERROR(INDEX(Calculations!$B$6:$B$27,MATCH(H29,Calculations!$A$6:$A$27,0)),"Unknown")</f>
        <v>Smart Home</v>
      </c>
      <c r="J29" s="14" t="n">
        <v>4</v>
      </c>
      <c r="K29" s="16" t="n">
        <v>4541.48</v>
      </c>
      <c r="L29" s="17" t="n">
        <v>0.1</v>
      </c>
      <c r="M29" s="18" t="n">
        <f aca="false">J29*K29*(1-L29)</f>
        <v>16349.328</v>
      </c>
      <c r="N29" s="18" t="n">
        <f aca="false">J29*IFERROR(INDEX(Calculations!$C$6:$C$27,MATCH(H29,Calculations!$A$6:$A$27,0)),0)</f>
        <v>10400</v>
      </c>
      <c r="O29" s="18" t="n">
        <f aca="false">M29-N29</f>
        <v>5949.328</v>
      </c>
      <c r="P29" s="18" t="n">
        <f aca="false">M29*IFERROR(INDEX(Calculations!$F$6:$F$11,MATCH(I29,Calculations!$E$6:$E$11,0)),0.1)</f>
        <v>1798.42608</v>
      </c>
      <c r="Q29" s="18" t="n">
        <f aca="false">O29-P29</f>
        <v>4150.90192</v>
      </c>
      <c r="R29" s="14" t="s">
        <v>130</v>
      </c>
      <c r="S29" s="14" t="s">
        <v>125</v>
      </c>
    </row>
    <row r="30" customFormat="false" ht="15" hidden="false" customHeight="false" outlineLevel="0" collapsed="false">
      <c r="A30" s="14" t="s">
        <v>232</v>
      </c>
      <c r="B30" s="15" t="n">
        <v>45889</v>
      </c>
      <c r="C30" s="14" t="s">
        <v>233</v>
      </c>
      <c r="D30" s="14" t="s">
        <v>234</v>
      </c>
      <c r="E30" s="14" t="s">
        <v>121</v>
      </c>
      <c r="F30" s="14" t="s">
        <v>129</v>
      </c>
      <c r="G30" s="14" t="s">
        <v>175</v>
      </c>
      <c r="H30" s="14" t="s">
        <v>65</v>
      </c>
      <c r="I30" s="14" t="str">
        <f aca="false">IFERROR(INDEX(Calculations!$B$6:$B$27,MATCH(H30,Calculations!$A$6:$A$27,0)),"Unknown")</f>
        <v>Computer Peripherals</v>
      </c>
      <c r="J30" s="14" t="n">
        <v>1</v>
      </c>
      <c r="K30" s="16" t="n">
        <v>3225.3</v>
      </c>
      <c r="L30" s="17" t="n">
        <v>0.2</v>
      </c>
      <c r="M30" s="18" t="n">
        <f aca="false">J30*K30*(1-L30)</f>
        <v>2580.24</v>
      </c>
      <c r="N30" s="18" t="n">
        <f aca="false">J30*IFERROR(INDEX(Calculations!$C$6:$C$27,MATCH(H30,Calculations!$A$6:$A$27,0)),0)</f>
        <v>1600</v>
      </c>
      <c r="O30" s="18" t="n">
        <f aca="false">M30-N30</f>
        <v>980.24</v>
      </c>
      <c r="P30" s="18" t="n">
        <f aca="false">M30*IFERROR(INDEX(Calculations!$F$6:$F$11,MATCH(I30,Calculations!$E$6:$E$11,0)),0.1)</f>
        <v>206.4192</v>
      </c>
      <c r="Q30" s="18" t="n">
        <f aca="false">O30-P30</f>
        <v>773.8208</v>
      </c>
      <c r="R30" s="14" t="s">
        <v>130</v>
      </c>
      <c r="S30" s="14" t="s">
        <v>125</v>
      </c>
    </row>
    <row r="31" customFormat="false" ht="15" hidden="false" customHeight="false" outlineLevel="0" collapsed="false">
      <c r="A31" s="14" t="s">
        <v>235</v>
      </c>
      <c r="B31" s="15" t="n">
        <v>45890</v>
      </c>
      <c r="C31" s="14" t="s">
        <v>236</v>
      </c>
      <c r="D31" s="14" t="s">
        <v>237</v>
      </c>
      <c r="E31" s="14" t="s">
        <v>145</v>
      </c>
      <c r="F31" s="14" t="s">
        <v>174</v>
      </c>
      <c r="G31" s="14" t="s">
        <v>161</v>
      </c>
      <c r="H31" s="14" t="s">
        <v>76</v>
      </c>
      <c r="I31" s="14" t="str">
        <f aca="false">IFERROR(INDEX(Calculations!$B$6:$B$27,MATCH(H31,Calculations!$A$6:$A$27,0)),"Unknown")</f>
        <v>Cameras</v>
      </c>
      <c r="J31" s="14" t="n">
        <v>3</v>
      </c>
      <c r="K31" s="16" t="n">
        <v>7219.06</v>
      </c>
      <c r="L31" s="17" t="n">
        <v>0.05</v>
      </c>
      <c r="M31" s="18" t="n">
        <f aca="false">J31*K31*(1-L31)</f>
        <v>20574.321</v>
      </c>
      <c r="N31" s="18" t="n">
        <f aca="false">J31*IFERROR(INDEX(Calculations!$C$6:$C$27,MATCH(H31,Calculations!$A$6:$A$27,0)),0)</f>
        <v>12600</v>
      </c>
      <c r="O31" s="18" t="n">
        <f aca="false">M31-N31</f>
        <v>7974.321</v>
      </c>
      <c r="P31" s="18" t="n">
        <f aca="false">M31*IFERROR(INDEX(Calculations!$F$6:$F$11,MATCH(I31,Calculations!$E$6:$E$11,0)),0.1)</f>
        <v>1543.074075</v>
      </c>
      <c r="Q31" s="18" t="n">
        <f aca="false">O31-P31</f>
        <v>6431.246925</v>
      </c>
      <c r="R31" s="14" t="s">
        <v>130</v>
      </c>
      <c r="S31" s="14" t="s">
        <v>205</v>
      </c>
    </row>
    <row r="32" customFormat="false" ht="15" hidden="false" customHeight="false" outlineLevel="0" collapsed="false">
      <c r="A32" s="14" t="s">
        <v>238</v>
      </c>
      <c r="B32" s="15" t="n">
        <v>45890</v>
      </c>
      <c r="C32" s="14" t="s">
        <v>163</v>
      </c>
      <c r="D32" s="14" t="s">
        <v>164</v>
      </c>
      <c r="E32" s="14" t="s">
        <v>121</v>
      </c>
      <c r="F32" s="14" t="s">
        <v>129</v>
      </c>
      <c r="G32" s="14" t="s">
        <v>170</v>
      </c>
      <c r="H32" s="14" t="s">
        <v>64</v>
      </c>
      <c r="I32" s="14" t="str">
        <f aca="false">IFERROR(INDEX(Calculations!$B$6:$B$27,MATCH(H32,Calculations!$A$6:$A$27,0)),"Unknown")</f>
        <v>Computer Peripherals</v>
      </c>
      <c r="J32" s="14" t="n">
        <v>3</v>
      </c>
      <c r="K32" s="16" t="n">
        <v>802.77</v>
      </c>
      <c r="L32" s="17" t="n">
        <v>0.05</v>
      </c>
      <c r="M32" s="18" t="n">
        <f aca="false">J32*K32*(1-L32)</f>
        <v>2287.8945</v>
      </c>
      <c r="N32" s="18" t="n">
        <f aca="false">J32*IFERROR(INDEX(Calculations!$C$6:$C$27,MATCH(H32,Calculations!$A$6:$A$27,0)),0)</f>
        <v>1050</v>
      </c>
      <c r="O32" s="18" t="n">
        <f aca="false">M32-N32</f>
        <v>1237.8945</v>
      </c>
      <c r="P32" s="18" t="n">
        <f aca="false">M32*IFERROR(INDEX(Calculations!$F$6:$F$11,MATCH(I32,Calculations!$E$6:$E$11,0)),0.1)</f>
        <v>183.03156</v>
      </c>
      <c r="Q32" s="18" t="n">
        <f aca="false">O32-P32</f>
        <v>1054.86294</v>
      </c>
      <c r="R32" s="14" t="s">
        <v>124</v>
      </c>
      <c r="S32" s="14" t="s">
        <v>125</v>
      </c>
    </row>
    <row r="33" customFormat="false" ht="15" hidden="false" customHeight="false" outlineLevel="0" collapsed="false">
      <c r="A33" s="14" t="s">
        <v>239</v>
      </c>
      <c r="B33" s="15" t="n">
        <v>45892</v>
      </c>
      <c r="C33" s="14" t="s">
        <v>240</v>
      </c>
      <c r="D33" s="14" t="s">
        <v>241</v>
      </c>
      <c r="E33" s="14" t="s">
        <v>139</v>
      </c>
      <c r="F33" s="14" t="s">
        <v>152</v>
      </c>
      <c r="G33" s="14" t="s">
        <v>161</v>
      </c>
      <c r="H33" s="14" t="s">
        <v>72</v>
      </c>
      <c r="I33" s="14" t="str">
        <f aca="false">IFERROR(INDEX(Calculations!$B$6:$B$27,MATCH(H33,Calculations!$A$6:$A$27,0)),"Unknown")</f>
        <v>Smart Home</v>
      </c>
      <c r="J33" s="14" t="n">
        <v>1</v>
      </c>
      <c r="K33" s="16" t="n">
        <v>4421.26</v>
      </c>
      <c r="L33" s="17" t="n">
        <v>0.1</v>
      </c>
      <c r="M33" s="18" t="n">
        <f aca="false">J33*K33*(1-L33)</f>
        <v>3979.134</v>
      </c>
      <c r="N33" s="18" t="n">
        <f aca="false">J33*IFERROR(INDEX(Calculations!$C$6:$C$27,MATCH(H33,Calculations!$A$6:$A$27,0)),0)</f>
        <v>2600</v>
      </c>
      <c r="O33" s="18" t="n">
        <f aca="false">M33-N33</f>
        <v>1379.134</v>
      </c>
      <c r="P33" s="18" t="n">
        <f aca="false">M33*IFERROR(INDEX(Calculations!$F$6:$F$11,MATCH(I33,Calculations!$E$6:$E$11,0)),0.1)</f>
        <v>437.70474</v>
      </c>
      <c r="Q33" s="18" t="n">
        <f aca="false">O33-P33</f>
        <v>941.42926</v>
      </c>
      <c r="R33" s="14" t="s">
        <v>135</v>
      </c>
      <c r="S33" s="14" t="s">
        <v>125</v>
      </c>
    </row>
    <row r="34" customFormat="false" ht="15" hidden="false" customHeight="false" outlineLevel="0" collapsed="false">
      <c r="A34" s="14" t="s">
        <v>242</v>
      </c>
      <c r="B34" s="15" t="n">
        <v>45893</v>
      </c>
      <c r="C34" s="14" t="s">
        <v>172</v>
      </c>
      <c r="D34" s="14" t="s">
        <v>173</v>
      </c>
      <c r="E34" s="14" t="s">
        <v>145</v>
      </c>
      <c r="F34" s="14" t="s">
        <v>174</v>
      </c>
      <c r="G34" s="14" t="s">
        <v>209</v>
      </c>
      <c r="H34" s="14" t="s">
        <v>52</v>
      </c>
      <c r="I34" s="14" t="str">
        <f aca="false">IFERROR(INDEX(Calculations!$B$6:$B$27,MATCH(H34,Calculations!$A$6:$A$27,0)),"Unknown")</f>
        <v>Audio</v>
      </c>
      <c r="J34" s="14" t="n">
        <v>2</v>
      </c>
      <c r="K34" s="16" t="n">
        <v>1950.15</v>
      </c>
      <c r="L34" s="17" t="n">
        <v>0</v>
      </c>
      <c r="M34" s="18" t="n">
        <f aca="false">J34*K34*(1-L34)</f>
        <v>3900.3</v>
      </c>
      <c r="N34" s="18" t="n">
        <f aca="false">J34*IFERROR(INDEX(Calculations!$C$6:$C$27,MATCH(H34,Calculations!$A$6:$A$27,0)),0)</f>
        <v>1800</v>
      </c>
      <c r="O34" s="18" t="n">
        <f aca="false">M34-N34</f>
        <v>2100.3</v>
      </c>
      <c r="P34" s="18" t="n">
        <f aca="false">M34*IFERROR(INDEX(Calculations!$F$6:$F$11,MATCH(I34,Calculations!$E$6:$E$11,0)),0.1)</f>
        <v>390.03</v>
      </c>
      <c r="Q34" s="18" t="n">
        <f aca="false">O34-P34</f>
        <v>1710.27</v>
      </c>
      <c r="R34" s="14" t="s">
        <v>243</v>
      </c>
      <c r="S34" s="14" t="s">
        <v>125</v>
      </c>
    </row>
    <row r="35" customFormat="false" ht="15" hidden="false" customHeight="false" outlineLevel="0" collapsed="false">
      <c r="A35" s="14" t="s">
        <v>244</v>
      </c>
      <c r="B35" s="15" t="n">
        <v>45894</v>
      </c>
      <c r="C35" s="14" t="s">
        <v>245</v>
      </c>
      <c r="D35" s="14" t="s">
        <v>246</v>
      </c>
      <c r="E35" s="14" t="s">
        <v>145</v>
      </c>
      <c r="F35" s="14" t="s">
        <v>174</v>
      </c>
      <c r="G35" s="14" t="s">
        <v>123</v>
      </c>
      <c r="H35" s="14" t="s">
        <v>50</v>
      </c>
      <c r="I35" s="14" t="str">
        <f aca="false">IFERROR(INDEX(Calculations!$B$6:$B$27,MATCH(H35,Calculations!$A$6:$A$27,0)),"Unknown")</f>
        <v>Audio</v>
      </c>
      <c r="J35" s="14" t="n">
        <v>2</v>
      </c>
      <c r="K35" s="16" t="n">
        <v>1290.65</v>
      </c>
      <c r="L35" s="17" t="n">
        <v>0</v>
      </c>
      <c r="M35" s="18" t="n">
        <f aca="false">J35*K35*(1-L35)</f>
        <v>2581.3</v>
      </c>
      <c r="N35" s="18" t="n">
        <f aca="false">J35*IFERROR(INDEX(Calculations!$C$6:$C$27,MATCH(H35,Calculations!$A$6:$A$27,0)),0)</f>
        <v>1300</v>
      </c>
      <c r="O35" s="18" t="n">
        <f aca="false">M35-N35</f>
        <v>1281.3</v>
      </c>
      <c r="P35" s="18" t="n">
        <f aca="false">M35*IFERROR(INDEX(Calculations!$F$6:$F$11,MATCH(I35,Calculations!$E$6:$E$11,0)),0.1)</f>
        <v>258.13</v>
      </c>
      <c r="Q35" s="18" t="n">
        <f aca="false">O35-P35</f>
        <v>1023.17</v>
      </c>
      <c r="R35" s="14" t="s">
        <v>124</v>
      </c>
      <c r="S35" s="14" t="s">
        <v>205</v>
      </c>
    </row>
    <row r="36" customFormat="false" ht="15" hidden="false" customHeight="false" outlineLevel="0" collapsed="false">
      <c r="A36" s="14" t="s">
        <v>247</v>
      </c>
      <c r="B36" s="15" t="n">
        <v>45895</v>
      </c>
      <c r="C36" s="14" t="s">
        <v>248</v>
      </c>
      <c r="D36" s="14" t="s">
        <v>249</v>
      </c>
      <c r="E36" s="14" t="s">
        <v>139</v>
      </c>
      <c r="F36" s="14" t="s">
        <v>140</v>
      </c>
      <c r="G36" s="14" t="s">
        <v>170</v>
      </c>
      <c r="H36" s="14" t="s">
        <v>77</v>
      </c>
      <c r="I36" s="14" t="str">
        <f aca="false">IFERROR(INDEX(Calculations!$B$6:$B$27,MATCH(H36,Calculations!$A$6:$A$27,0)),"Unknown")</f>
        <v>Cameras</v>
      </c>
      <c r="J36" s="14" t="n">
        <v>4</v>
      </c>
      <c r="K36" s="16" t="n">
        <v>5676.26</v>
      </c>
      <c r="L36" s="17" t="n">
        <v>0.1</v>
      </c>
      <c r="M36" s="18" t="n">
        <f aca="false">J36*K36*(1-L36)</f>
        <v>20434.536</v>
      </c>
      <c r="N36" s="18" t="n">
        <f aca="false">J36*IFERROR(INDEX(Calculations!$C$6:$C$27,MATCH(H36,Calculations!$A$6:$A$27,0)),0)</f>
        <v>12400</v>
      </c>
      <c r="O36" s="18" t="n">
        <f aca="false">M36-N36</f>
        <v>8034.536</v>
      </c>
      <c r="P36" s="18" t="n">
        <f aca="false">M36*IFERROR(INDEX(Calculations!$F$6:$F$11,MATCH(I36,Calculations!$E$6:$E$11,0)),0.1)</f>
        <v>1532.5902</v>
      </c>
      <c r="Q36" s="18" t="n">
        <f aca="false">O36-P36</f>
        <v>6501.9458</v>
      </c>
      <c r="R36" s="14" t="s">
        <v>130</v>
      </c>
      <c r="S36" s="14" t="s">
        <v>210</v>
      </c>
    </row>
    <row r="37" customFormat="false" ht="15" hidden="false" customHeight="false" outlineLevel="0" collapsed="false">
      <c r="A37" s="14" t="s">
        <v>250</v>
      </c>
      <c r="B37" s="15" t="n">
        <v>45895</v>
      </c>
      <c r="C37" s="14" t="s">
        <v>251</v>
      </c>
      <c r="D37" s="14" t="s">
        <v>252</v>
      </c>
      <c r="E37" s="14" t="s">
        <v>121</v>
      </c>
      <c r="F37" s="14" t="s">
        <v>129</v>
      </c>
      <c r="G37" s="14" t="s">
        <v>170</v>
      </c>
      <c r="H37" s="14" t="s">
        <v>63</v>
      </c>
      <c r="I37" s="14" t="str">
        <f aca="false">IFERROR(INDEX(Calculations!$B$6:$B$27,MATCH(H37,Calculations!$A$6:$A$27,0)),"Unknown")</f>
        <v>Mobile Accessories</v>
      </c>
      <c r="J37" s="14" t="n">
        <v>5</v>
      </c>
      <c r="K37" s="16" t="n">
        <v>360.09</v>
      </c>
      <c r="L37" s="17" t="n">
        <v>0</v>
      </c>
      <c r="M37" s="18" t="n">
        <f aca="false">J37*K37*(1-L37)</f>
        <v>1800.45</v>
      </c>
      <c r="N37" s="18" t="n">
        <f aca="false">J37*IFERROR(INDEX(Calculations!$C$6:$C$27,MATCH(H37,Calculations!$A$6:$A$27,0)),0)</f>
        <v>750</v>
      </c>
      <c r="O37" s="18" t="n">
        <f aca="false">M37-N37</f>
        <v>1050.45</v>
      </c>
      <c r="P37" s="18" t="n">
        <f aca="false">M37*IFERROR(INDEX(Calculations!$F$6:$F$11,MATCH(I37,Calculations!$E$6:$E$11,0)),0.1)</f>
        <v>216.054</v>
      </c>
      <c r="Q37" s="18" t="n">
        <f aca="false">O37-P37</f>
        <v>834.396</v>
      </c>
      <c r="R37" s="14" t="s">
        <v>165</v>
      </c>
      <c r="S37" s="14" t="s">
        <v>125</v>
      </c>
    </row>
    <row r="38" customFormat="false" ht="15" hidden="false" customHeight="false" outlineLevel="0" collapsed="false">
      <c r="A38" s="14" t="s">
        <v>253</v>
      </c>
      <c r="B38" s="15" t="n">
        <v>45895</v>
      </c>
      <c r="C38" s="14" t="s">
        <v>254</v>
      </c>
      <c r="D38" s="14" t="s">
        <v>255</v>
      </c>
      <c r="E38" s="14" t="s">
        <v>156</v>
      </c>
      <c r="F38" s="14" t="s">
        <v>169</v>
      </c>
      <c r="G38" s="14" t="s">
        <v>175</v>
      </c>
      <c r="H38" s="14" t="s">
        <v>58</v>
      </c>
      <c r="I38" s="14" t="str">
        <f aca="false">IFERROR(INDEX(Calculations!$B$6:$B$27,MATCH(H38,Calculations!$A$6:$A$27,0)),"Unknown")</f>
        <v>Mobile Accessories</v>
      </c>
      <c r="J38" s="14" t="n">
        <v>1</v>
      </c>
      <c r="K38" s="16" t="n">
        <v>483.12</v>
      </c>
      <c r="L38" s="17" t="n">
        <v>0</v>
      </c>
      <c r="M38" s="18" t="n">
        <f aca="false">J38*K38*(1-L38)</f>
        <v>483.12</v>
      </c>
      <c r="N38" s="18" t="n">
        <f aca="false">J38*IFERROR(INDEX(Calculations!$C$6:$C$27,MATCH(H38,Calculations!$A$6:$A$27,0)),0)</f>
        <v>220</v>
      </c>
      <c r="O38" s="18" t="n">
        <f aca="false">M38-N38</f>
        <v>263.12</v>
      </c>
      <c r="P38" s="18" t="n">
        <f aca="false">M38*IFERROR(INDEX(Calculations!$F$6:$F$11,MATCH(I38,Calculations!$E$6:$E$11,0)),0.1)</f>
        <v>57.9744</v>
      </c>
      <c r="Q38" s="18" t="n">
        <f aca="false">O38-P38</f>
        <v>205.1456</v>
      </c>
      <c r="R38" s="14" t="s">
        <v>135</v>
      </c>
      <c r="S38" s="14" t="s">
        <v>125</v>
      </c>
    </row>
    <row r="39" customFormat="false" ht="15" hidden="false" customHeight="false" outlineLevel="0" collapsed="false">
      <c r="A39" s="14" t="s">
        <v>256</v>
      </c>
      <c r="B39" s="15" t="n">
        <v>45897</v>
      </c>
      <c r="C39" s="14" t="s">
        <v>257</v>
      </c>
      <c r="D39" s="14" t="s">
        <v>258</v>
      </c>
      <c r="E39" s="14" t="s">
        <v>194</v>
      </c>
      <c r="F39" s="14" t="s">
        <v>259</v>
      </c>
      <c r="G39" s="14" t="s">
        <v>175</v>
      </c>
      <c r="H39" s="14" t="s">
        <v>75</v>
      </c>
      <c r="I39" s="14" t="str">
        <f aca="false">IFERROR(INDEX(Calculations!$B$6:$B$27,MATCH(H39,Calculations!$A$6:$A$27,0)),"Unknown")</f>
        <v>Wearables</v>
      </c>
      <c r="J39" s="14" t="n">
        <v>3</v>
      </c>
      <c r="K39" s="16" t="n">
        <v>3208.46</v>
      </c>
      <c r="L39" s="17" t="n">
        <v>0.15</v>
      </c>
      <c r="M39" s="18" t="n">
        <f aca="false">J39*K39*(1-L39)</f>
        <v>8181.573</v>
      </c>
      <c r="N39" s="18" t="n">
        <f aca="false">J39*IFERROR(INDEX(Calculations!$C$6:$C$27,MATCH(H39,Calculations!$A$6:$A$27,0)),0)</f>
        <v>5700</v>
      </c>
      <c r="O39" s="18" t="n">
        <f aca="false">M39-N39</f>
        <v>2481.573</v>
      </c>
      <c r="P39" s="18" t="n">
        <f aca="false">M39*IFERROR(INDEX(Calculations!$F$6:$F$11,MATCH(I39,Calculations!$E$6:$E$11,0)),0.1)</f>
        <v>736.34157</v>
      </c>
      <c r="Q39" s="18" t="n">
        <f aca="false">O39-P39</f>
        <v>1745.23143</v>
      </c>
      <c r="R39" s="14" t="s">
        <v>243</v>
      </c>
      <c r="S39" s="14" t="s">
        <v>205</v>
      </c>
    </row>
    <row r="40" customFormat="false" ht="15" hidden="false" customHeight="false" outlineLevel="0" collapsed="false">
      <c r="A40" s="14" t="s">
        <v>260</v>
      </c>
      <c r="B40" s="15" t="n">
        <v>45897</v>
      </c>
      <c r="C40" s="14" t="s">
        <v>261</v>
      </c>
      <c r="D40" s="14" t="s">
        <v>262</v>
      </c>
      <c r="E40" s="14" t="s">
        <v>145</v>
      </c>
      <c r="F40" s="14" t="s">
        <v>146</v>
      </c>
      <c r="G40" s="14" t="s">
        <v>123</v>
      </c>
      <c r="H40" s="14" t="s">
        <v>58</v>
      </c>
      <c r="I40" s="14" t="str">
        <f aca="false">IFERROR(INDEX(Calculations!$B$6:$B$27,MATCH(H40,Calculations!$A$6:$A$27,0)),"Unknown")</f>
        <v>Mobile Accessories</v>
      </c>
      <c r="J40" s="14" t="n">
        <v>2</v>
      </c>
      <c r="K40" s="16" t="n">
        <v>500.63</v>
      </c>
      <c r="L40" s="17" t="n">
        <v>0.05</v>
      </c>
      <c r="M40" s="18" t="n">
        <f aca="false">J40*K40*(1-L40)</f>
        <v>951.197</v>
      </c>
      <c r="N40" s="18" t="n">
        <f aca="false">J40*IFERROR(INDEX(Calculations!$C$6:$C$27,MATCH(H40,Calculations!$A$6:$A$27,0)),0)</f>
        <v>440</v>
      </c>
      <c r="O40" s="18" t="n">
        <f aca="false">M40-N40</f>
        <v>511.197</v>
      </c>
      <c r="P40" s="18" t="n">
        <f aca="false">M40*IFERROR(INDEX(Calculations!$F$6:$F$11,MATCH(I40,Calculations!$E$6:$E$11,0)),0.1)</f>
        <v>114.14364</v>
      </c>
      <c r="Q40" s="18" t="n">
        <f aca="false">O40-P40</f>
        <v>397.05336</v>
      </c>
      <c r="R40" s="14" t="s">
        <v>124</v>
      </c>
      <c r="S40" s="14" t="s">
        <v>125</v>
      </c>
    </row>
    <row r="41" customFormat="false" ht="15" hidden="false" customHeight="false" outlineLevel="0" collapsed="false">
      <c r="A41" s="14" t="s">
        <v>263</v>
      </c>
      <c r="B41" s="15" t="n">
        <v>45898</v>
      </c>
      <c r="C41" s="14" t="s">
        <v>264</v>
      </c>
      <c r="D41" s="14" t="s">
        <v>265</v>
      </c>
      <c r="E41" s="14" t="s">
        <v>145</v>
      </c>
      <c r="F41" s="14" t="s">
        <v>146</v>
      </c>
      <c r="G41" s="14" t="s">
        <v>147</v>
      </c>
      <c r="H41" s="14" t="s">
        <v>73</v>
      </c>
      <c r="I41" s="14" t="str">
        <f aca="false">IFERROR(INDEX(Calculations!$B$6:$B$27,MATCH(H41,Calculations!$A$6:$A$27,0)),"Unknown")</f>
        <v>Wearables</v>
      </c>
      <c r="J41" s="14" t="n">
        <v>2</v>
      </c>
      <c r="K41" s="16" t="n">
        <v>2076.19</v>
      </c>
      <c r="L41" s="17" t="n">
        <v>0.05</v>
      </c>
      <c r="M41" s="18" t="n">
        <f aca="false">J41*K41*(1-L41)</f>
        <v>3944.761</v>
      </c>
      <c r="N41" s="18" t="n">
        <f aca="false">J41*IFERROR(INDEX(Calculations!$C$6:$C$27,MATCH(H41,Calculations!$A$6:$A$27,0)),0)</f>
        <v>2200</v>
      </c>
      <c r="O41" s="18" t="n">
        <f aca="false">M41-N41</f>
        <v>1744.761</v>
      </c>
      <c r="P41" s="18" t="n">
        <f aca="false">M41*IFERROR(INDEX(Calculations!$F$6:$F$11,MATCH(I41,Calculations!$E$6:$E$11,0)),0.1)</f>
        <v>355.02849</v>
      </c>
      <c r="Q41" s="18" t="n">
        <f aca="false">O41-P41</f>
        <v>1389.73251</v>
      </c>
      <c r="R41" s="14" t="s">
        <v>243</v>
      </c>
      <c r="S41" s="14" t="s">
        <v>148</v>
      </c>
    </row>
    <row r="42" customFormat="false" ht="15" hidden="false" customHeight="false" outlineLevel="0" collapsed="false">
      <c r="A42" s="14" t="s">
        <v>266</v>
      </c>
      <c r="B42" s="15" t="n">
        <v>45898</v>
      </c>
      <c r="C42" s="14" t="s">
        <v>267</v>
      </c>
      <c r="D42" s="14" t="s">
        <v>268</v>
      </c>
      <c r="E42" s="14" t="s">
        <v>194</v>
      </c>
      <c r="F42" s="14" t="s">
        <v>259</v>
      </c>
      <c r="G42" s="14" t="s">
        <v>147</v>
      </c>
      <c r="H42" s="14" t="s">
        <v>54</v>
      </c>
      <c r="I42" s="14" t="str">
        <f aca="false">IFERROR(INDEX(Calculations!$B$6:$B$27,MATCH(H42,Calculations!$A$6:$A$27,0)),"Unknown")</f>
        <v>Audio</v>
      </c>
      <c r="J42" s="14" t="n">
        <v>2</v>
      </c>
      <c r="K42" s="16" t="n">
        <v>2691.5</v>
      </c>
      <c r="L42" s="17" t="n">
        <v>0.05</v>
      </c>
      <c r="M42" s="18" t="n">
        <f aca="false">J42*K42*(1-L42)</f>
        <v>5113.85</v>
      </c>
      <c r="N42" s="18" t="n">
        <f aca="false">J42*IFERROR(INDEX(Calculations!$C$6:$C$27,MATCH(H42,Calculations!$A$6:$A$27,0)),0)</f>
        <v>2800</v>
      </c>
      <c r="O42" s="18" t="n">
        <f aca="false">M42-N42</f>
        <v>2313.85</v>
      </c>
      <c r="P42" s="18" t="n">
        <f aca="false">M42*IFERROR(INDEX(Calculations!$F$6:$F$11,MATCH(I42,Calculations!$E$6:$E$11,0)),0.1)</f>
        <v>511.385</v>
      </c>
      <c r="Q42" s="18" t="n">
        <f aca="false">O42-P42</f>
        <v>1802.465</v>
      </c>
      <c r="R42" s="14" t="s">
        <v>130</v>
      </c>
      <c r="S42" s="14" t="s">
        <v>125</v>
      </c>
    </row>
    <row r="43" customFormat="false" ht="15" hidden="false" customHeight="false" outlineLevel="0" collapsed="false">
      <c r="A43" s="14" t="s">
        <v>269</v>
      </c>
      <c r="B43" s="15" t="n">
        <v>45898</v>
      </c>
      <c r="C43" s="14" t="s">
        <v>270</v>
      </c>
      <c r="D43" s="14" t="s">
        <v>271</v>
      </c>
      <c r="E43" s="14" t="s">
        <v>145</v>
      </c>
      <c r="F43" s="14" t="s">
        <v>174</v>
      </c>
      <c r="G43" s="14" t="s">
        <v>134</v>
      </c>
      <c r="H43" s="14" t="s">
        <v>67</v>
      </c>
      <c r="I43" s="14" t="str">
        <f aca="false">IFERROR(INDEX(Calculations!$B$6:$B$27,MATCH(H43,Calculations!$A$6:$A$27,0)),"Unknown")</f>
        <v>Computer Peripherals</v>
      </c>
      <c r="J43" s="14" t="n">
        <v>1</v>
      </c>
      <c r="K43" s="16" t="n">
        <v>1829.16</v>
      </c>
      <c r="L43" s="17" t="n">
        <v>0.05</v>
      </c>
      <c r="M43" s="18" t="n">
        <f aca="false">J43*K43*(1-L43)</f>
        <v>1737.702</v>
      </c>
      <c r="N43" s="18" t="n">
        <f aca="false">J43*IFERROR(INDEX(Calculations!$C$6:$C$27,MATCH(H43,Calculations!$A$6:$A$27,0)),0)</f>
        <v>900</v>
      </c>
      <c r="O43" s="18" t="n">
        <f aca="false">M43-N43</f>
        <v>837.702</v>
      </c>
      <c r="P43" s="18" t="n">
        <f aca="false">M43*IFERROR(INDEX(Calculations!$F$6:$F$11,MATCH(I43,Calculations!$E$6:$E$11,0)),0.1)</f>
        <v>139.01616</v>
      </c>
      <c r="Q43" s="18" t="n">
        <f aca="false">O43-P43</f>
        <v>698.68584</v>
      </c>
      <c r="R43" s="14" t="s">
        <v>165</v>
      </c>
      <c r="S43" s="14" t="s">
        <v>125</v>
      </c>
    </row>
    <row r="44" customFormat="false" ht="15" hidden="false" customHeight="false" outlineLevel="0" collapsed="false">
      <c r="A44" s="14" t="s">
        <v>272</v>
      </c>
      <c r="B44" s="15" t="n">
        <v>45898</v>
      </c>
      <c r="C44" s="14" t="s">
        <v>150</v>
      </c>
      <c r="D44" s="14" t="s">
        <v>151</v>
      </c>
      <c r="E44" s="14" t="s">
        <v>139</v>
      </c>
      <c r="F44" s="14" t="s">
        <v>152</v>
      </c>
      <c r="G44" s="14" t="s">
        <v>147</v>
      </c>
      <c r="H44" s="14" t="s">
        <v>77</v>
      </c>
      <c r="I44" s="14" t="str">
        <f aca="false">IFERROR(INDEX(Calculations!$B$6:$B$27,MATCH(H44,Calculations!$A$6:$A$27,0)),"Unknown")</f>
        <v>Cameras</v>
      </c>
      <c r="J44" s="14" t="n">
        <v>1</v>
      </c>
      <c r="K44" s="16" t="n">
        <v>5624.61</v>
      </c>
      <c r="L44" s="17" t="n">
        <v>0.2</v>
      </c>
      <c r="M44" s="18" t="n">
        <f aca="false">J44*K44*(1-L44)</f>
        <v>4499.688</v>
      </c>
      <c r="N44" s="18" t="n">
        <f aca="false">J44*IFERROR(INDEX(Calculations!$C$6:$C$27,MATCH(H44,Calculations!$A$6:$A$27,0)),0)</f>
        <v>3100</v>
      </c>
      <c r="O44" s="18" t="n">
        <f aca="false">M44-N44</f>
        <v>1399.688</v>
      </c>
      <c r="P44" s="18" t="n">
        <f aca="false">M44*IFERROR(INDEX(Calculations!$F$6:$F$11,MATCH(I44,Calculations!$E$6:$E$11,0)),0.1)</f>
        <v>337.4766</v>
      </c>
      <c r="Q44" s="18" t="n">
        <f aca="false">O44-P44</f>
        <v>1062.2114</v>
      </c>
      <c r="R44" s="14" t="s">
        <v>135</v>
      </c>
      <c r="S44" s="14" t="s">
        <v>125</v>
      </c>
    </row>
    <row r="45" customFormat="false" ht="15" hidden="false" customHeight="false" outlineLevel="0" collapsed="false">
      <c r="A45" s="14" t="s">
        <v>273</v>
      </c>
      <c r="B45" s="15" t="n">
        <v>45898</v>
      </c>
      <c r="C45" s="14" t="s">
        <v>274</v>
      </c>
      <c r="D45" s="14" t="s">
        <v>275</v>
      </c>
      <c r="E45" s="14" t="s">
        <v>156</v>
      </c>
      <c r="F45" s="14" t="s">
        <v>157</v>
      </c>
      <c r="G45" s="14" t="s">
        <v>161</v>
      </c>
      <c r="H45" s="14" t="s">
        <v>69</v>
      </c>
      <c r="I45" s="14" t="str">
        <f aca="false">IFERROR(INDEX(Calculations!$B$6:$B$27,MATCH(H45,Calculations!$A$6:$A$27,0)),"Unknown")</f>
        <v>Smart Home</v>
      </c>
      <c r="J45" s="14" t="n">
        <v>2</v>
      </c>
      <c r="K45" s="16" t="n">
        <v>810.39</v>
      </c>
      <c r="L45" s="17" t="n">
        <v>0.05</v>
      </c>
      <c r="M45" s="18" t="n">
        <f aca="false">J45*K45*(1-L45)</f>
        <v>1539.741</v>
      </c>
      <c r="N45" s="18" t="n">
        <f aca="false">J45*IFERROR(INDEX(Calculations!$C$6:$C$27,MATCH(H45,Calculations!$A$6:$A$27,0)),0)</f>
        <v>700</v>
      </c>
      <c r="O45" s="18" t="n">
        <f aca="false">M45-N45</f>
        <v>839.741</v>
      </c>
      <c r="P45" s="18" t="n">
        <f aca="false">M45*IFERROR(INDEX(Calculations!$F$6:$F$11,MATCH(I45,Calculations!$E$6:$E$11,0)),0.1)</f>
        <v>169.37151</v>
      </c>
      <c r="Q45" s="18" t="n">
        <f aca="false">O45-P45</f>
        <v>670.36949</v>
      </c>
      <c r="R45" s="14" t="s">
        <v>130</v>
      </c>
      <c r="S45" s="14" t="s">
        <v>125</v>
      </c>
    </row>
    <row r="46" customFormat="false" ht="15" hidden="false" customHeight="false" outlineLevel="0" collapsed="false">
      <c r="A46" s="14" t="s">
        <v>276</v>
      </c>
      <c r="B46" s="15" t="n">
        <v>45900</v>
      </c>
      <c r="C46" s="14" t="s">
        <v>277</v>
      </c>
      <c r="D46" s="14" t="s">
        <v>278</v>
      </c>
      <c r="E46" s="14" t="s">
        <v>145</v>
      </c>
      <c r="F46" s="14" t="s">
        <v>174</v>
      </c>
      <c r="G46" s="14" t="s">
        <v>141</v>
      </c>
      <c r="H46" s="14" t="s">
        <v>62</v>
      </c>
      <c r="I46" s="14" t="str">
        <f aca="false">IFERROR(INDEX(Calculations!$B$6:$B$27,MATCH(H46,Calculations!$A$6:$A$27,0)),"Unknown")</f>
        <v>Mobile Accessories</v>
      </c>
      <c r="J46" s="14" t="n">
        <v>2</v>
      </c>
      <c r="K46" s="16" t="n">
        <v>351.7</v>
      </c>
      <c r="L46" s="17" t="n">
        <v>0</v>
      </c>
      <c r="M46" s="18" t="n">
        <f aca="false">J46*K46*(1-L46)</f>
        <v>703.4</v>
      </c>
      <c r="N46" s="18" t="n">
        <f aca="false">J46*IFERROR(INDEX(Calculations!$C$6:$C$27,MATCH(H46,Calculations!$A$6:$A$27,0)),0)</f>
        <v>260</v>
      </c>
      <c r="O46" s="18" t="n">
        <f aca="false">M46-N46</f>
        <v>443.4</v>
      </c>
      <c r="P46" s="18" t="n">
        <f aca="false">M46*IFERROR(INDEX(Calculations!$F$6:$F$11,MATCH(I46,Calculations!$E$6:$E$11,0)),0.1)</f>
        <v>84.408</v>
      </c>
      <c r="Q46" s="18" t="n">
        <f aca="false">O46-P46</f>
        <v>358.992</v>
      </c>
      <c r="R46" s="14" t="s">
        <v>243</v>
      </c>
      <c r="S46" s="14" t="s">
        <v>125</v>
      </c>
    </row>
    <row r="47" customFormat="false" ht="15" hidden="false" customHeight="false" outlineLevel="0" collapsed="false">
      <c r="A47" s="14" t="s">
        <v>279</v>
      </c>
      <c r="B47" s="15" t="n">
        <v>45900</v>
      </c>
      <c r="C47" s="14" t="s">
        <v>280</v>
      </c>
      <c r="D47" s="14" t="s">
        <v>281</v>
      </c>
      <c r="E47" s="14" t="s">
        <v>121</v>
      </c>
      <c r="F47" s="14" t="s">
        <v>122</v>
      </c>
      <c r="G47" s="14" t="s">
        <v>175</v>
      </c>
      <c r="H47" s="14" t="s">
        <v>76</v>
      </c>
      <c r="I47" s="14" t="str">
        <f aca="false">IFERROR(INDEX(Calculations!$B$6:$B$27,MATCH(H47,Calculations!$A$6:$A$27,0)),"Unknown")</f>
        <v>Cameras</v>
      </c>
      <c r="J47" s="14" t="n">
        <v>2</v>
      </c>
      <c r="K47" s="16" t="n">
        <v>7291.38</v>
      </c>
      <c r="L47" s="17" t="n">
        <v>0.05</v>
      </c>
      <c r="M47" s="18" t="n">
        <f aca="false">J47*K47*(1-L47)</f>
        <v>13853.622</v>
      </c>
      <c r="N47" s="18" t="n">
        <f aca="false">J47*IFERROR(INDEX(Calculations!$C$6:$C$27,MATCH(H47,Calculations!$A$6:$A$27,0)),0)</f>
        <v>8400</v>
      </c>
      <c r="O47" s="18" t="n">
        <f aca="false">M47-N47</f>
        <v>5453.622</v>
      </c>
      <c r="P47" s="18" t="n">
        <f aca="false">M47*IFERROR(INDEX(Calculations!$F$6:$F$11,MATCH(I47,Calculations!$E$6:$E$11,0)),0.1)</f>
        <v>1039.02165</v>
      </c>
      <c r="Q47" s="18" t="n">
        <f aca="false">O47-P47</f>
        <v>4414.60035</v>
      </c>
      <c r="R47" s="14" t="s">
        <v>130</v>
      </c>
      <c r="S47" s="14" t="s">
        <v>125</v>
      </c>
    </row>
    <row r="48" customFormat="false" ht="15" hidden="false" customHeight="false" outlineLevel="0" collapsed="false">
      <c r="A48" s="14" t="s">
        <v>282</v>
      </c>
      <c r="B48" s="15" t="n">
        <v>45901</v>
      </c>
      <c r="C48" s="14" t="s">
        <v>137</v>
      </c>
      <c r="D48" s="14" t="s">
        <v>138</v>
      </c>
      <c r="E48" s="14" t="s">
        <v>139</v>
      </c>
      <c r="F48" s="14" t="s">
        <v>140</v>
      </c>
      <c r="G48" s="14" t="s">
        <v>209</v>
      </c>
      <c r="H48" s="14" t="s">
        <v>71</v>
      </c>
      <c r="I48" s="14" t="str">
        <f aca="false">IFERROR(INDEX(Calculations!$B$6:$B$27,MATCH(H48,Calculations!$A$6:$A$27,0)),"Unknown")</f>
        <v>Smart Home</v>
      </c>
      <c r="J48" s="14" t="n">
        <v>1</v>
      </c>
      <c r="K48" s="16" t="n">
        <v>872.91</v>
      </c>
      <c r="L48" s="17" t="n">
        <v>0</v>
      </c>
      <c r="M48" s="18" t="n">
        <f aca="false">J48*K48*(1-L48)</f>
        <v>872.91</v>
      </c>
      <c r="N48" s="18" t="n">
        <f aca="false">J48*IFERROR(INDEX(Calculations!$C$6:$C$27,MATCH(H48,Calculations!$A$6:$A$27,0)),0)</f>
        <v>450</v>
      </c>
      <c r="O48" s="18" t="n">
        <f aca="false">M48-N48</f>
        <v>422.91</v>
      </c>
      <c r="P48" s="18" t="n">
        <f aca="false">M48*IFERROR(INDEX(Calculations!$F$6:$F$11,MATCH(I48,Calculations!$E$6:$E$11,0)),0.1)</f>
        <v>96.0201</v>
      </c>
      <c r="Q48" s="18" t="n">
        <f aca="false">O48-P48</f>
        <v>326.8899</v>
      </c>
      <c r="R48" s="14" t="s">
        <v>243</v>
      </c>
      <c r="S48" s="14" t="s">
        <v>125</v>
      </c>
    </row>
    <row r="49" customFormat="false" ht="15" hidden="false" customHeight="false" outlineLevel="0" collapsed="false">
      <c r="A49" s="14" t="s">
        <v>283</v>
      </c>
      <c r="B49" s="15" t="n">
        <v>45902</v>
      </c>
      <c r="C49" s="14" t="s">
        <v>284</v>
      </c>
      <c r="D49" s="14" t="s">
        <v>285</v>
      </c>
      <c r="E49" s="14" t="s">
        <v>145</v>
      </c>
      <c r="F49" s="14" t="s">
        <v>174</v>
      </c>
      <c r="G49" s="14" t="s">
        <v>175</v>
      </c>
      <c r="H49" s="14" t="s">
        <v>75</v>
      </c>
      <c r="I49" s="14" t="str">
        <f aca="false">IFERROR(INDEX(Calculations!$B$6:$B$27,MATCH(H49,Calculations!$A$6:$A$27,0)),"Unknown")</f>
        <v>Wearables</v>
      </c>
      <c r="J49" s="14" t="n">
        <v>3</v>
      </c>
      <c r="K49" s="16" t="n">
        <v>3186.2</v>
      </c>
      <c r="L49" s="17" t="n">
        <v>0.2</v>
      </c>
      <c r="M49" s="18" t="n">
        <f aca="false">J49*K49*(1-L49)</f>
        <v>7646.88</v>
      </c>
      <c r="N49" s="18" t="n">
        <f aca="false">J49*IFERROR(INDEX(Calculations!$C$6:$C$27,MATCH(H49,Calculations!$A$6:$A$27,0)),0)</f>
        <v>5700</v>
      </c>
      <c r="O49" s="18" t="n">
        <f aca="false">M49-N49</f>
        <v>1946.88</v>
      </c>
      <c r="P49" s="18" t="n">
        <f aca="false">M49*IFERROR(INDEX(Calculations!$F$6:$F$11,MATCH(I49,Calculations!$E$6:$E$11,0)),0.1)</f>
        <v>688.2192</v>
      </c>
      <c r="Q49" s="18" t="n">
        <f aca="false">O49-P49</f>
        <v>1258.6608</v>
      </c>
      <c r="R49" s="14" t="s">
        <v>130</v>
      </c>
      <c r="S49" s="14" t="s">
        <v>210</v>
      </c>
    </row>
    <row r="50" customFormat="false" ht="15" hidden="false" customHeight="false" outlineLevel="0" collapsed="false">
      <c r="A50" s="14" t="s">
        <v>286</v>
      </c>
      <c r="B50" s="15" t="n">
        <v>45903</v>
      </c>
      <c r="C50" s="14" t="s">
        <v>287</v>
      </c>
      <c r="D50" s="14" t="s">
        <v>288</v>
      </c>
      <c r="E50" s="14" t="s">
        <v>139</v>
      </c>
      <c r="F50" s="14" t="s">
        <v>152</v>
      </c>
      <c r="G50" s="14" t="s">
        <v>134</v>
      </c>
      <c r="H50" s="14" t="s">
        <v>67</v>
      </c>
      <c r="I50" s="14" t="str">
        <f aca="false">IFERROR(INDEX(Calculations!$B$6:$B$27,MATCH(H50,Calculations!$A$6:$A$27,0)),"Unknown")</f>
        <v>Computer Peripherals</v>
      </c>
      <c r="J50" s="14" t="n">
        <v>1</v>
      </c>
      <c r="K50" s="16" t="n">
        <v>1731.53</v>
      </c>
      <c r="L50" s="17" t="n">
        <v>0.2</v>
      </c>
      <c r="M50" s="18" t="n">
        <f aca="false">J50*K50*(1-L50)</f>
        <v>1385.224</v>
      </c>
      <c r="N50" s="18" t="n">
        <f aca="false">J50*IFERROR(INDEX(Calculations!$C$6:$C$27,MATCH(H50,Calculations!$A$6:$A$27,0)),0)</f>
        <v>900</v>
      </c>
      <c r="O50" s="18" t="n">
        <f aca="false">M50-N50</f>
        <v>485.224</v>
      </c>
      <c r="P50" s="18" t="n">
        <f aca="false">M50*IFERROR(INDEX(Calculations!$F$6:$F$11,MATCH(I50,Calculations!$E$6:$E$11,0)),0.1)</f>
        <v>110.81792</v>
      </c>
      <c r="Q50" s="18" t="n">
        <f aca="false">O50-P50</f>
        <v>374.40608</v>
      </c>
      <c r="R50" s="14" t="s">
        <v>135</v>
      </c>
      <c r="S50" s="14" t="s">
        <v>210</v>
      </c>
    </row>
    <row r="51" customFormat="false" ht="15" hidden="false" customHeight="false" outlineLevel="0" collapsed="false">
      <c r="A51" s="14" t="s">
        <v>289</v>
      </c>
      <c r="B51" s="15" t="n">
        <v>45904</v>
      </c>
      <c r="C51" s="14" t="s">
        <v>290</v>
      </c>
      <c r="D51" s="14" t="s">
        <v>291</v>
      </c>
      <c r="E51" s="14" t="s">
        <v>145</v>
      </c>
      <c r="F51" s="14" t="s">
        <v>146</v>
      </c>
      <c r="G51" s="14" t="s">
        <v>175</v>
      </c>
      <c r="H51" s="14" t="s">
        <v>67</v>
      </c>
      <c r="I51" s="14" t="str">
        <f aca="false">IFERROR(INDEX(Calculations!$B$6:$B$27,MATCH(H51,Calculations!$A$6:$A$27,0)),"Unknown")</f>
        <v>Computer Peripherals</v>
      </c>
      <c r="J51" s="14" t="n">
        <v>2</v>
      </c>
      <c r="K51" s="16" t="n">
        <v>1794.7</v>
      </c>
      <c r="L51" s="17" t="n">
        <v>0.1</v>
      </c>
      <c r="M51" s="18" t="n">
        <f aca="false">J51*K51*(1-L51)</f>
        <v>3230.46</v>
      </c>
      <c r="N51" s="18" t="n">
        <f aca="false">J51*IFERROR(INDEX(Calculations!$C$6:$C$27,MATCH(H51,Calculations!$A$6:$A$27,0)),0)</f>
        <v>1800</v>
      </c>
      <c r="O51" s="18" t="n">
        <f aca="false">M51-N51</f>
        <v>1430.46</v>
      </c>
      <c r="P51" s="18" t="n">
        <f aca="false">M51*IFERROR(INDEX(Calculations!$F$6:$F$11,MATCH(I51,Calculations!$E$6:$E$11,0)),0.1)</f>
        <v>258.4368</v>
      </c>
      <c r="Q51" s="18" t="n">
        <f aca="false">O51-P51</f>
        <v>1172.0232</v>
      </c>
      <c r="R51" s="14" t="s">
        <v>243</v>
      </c>
      <c r="S51" s="14" t="s">
        <v>125</v>
      </c>
    </row>
    <row r="52" customFormat="false" ht="15" hidden="false" customHeight="false" outlineLevel="0" collapsed="false">
      <c r="A52" s="14" t="s">
        <v>292</v>
      </c>
      <c r="B52" s="15" t="n">
        <v>45904</v>
      </c>
      <c r="C52" s="14" t="s">
        <v>254</v>
      </c>
      <c r="D52" s="14" t="s">
        <v>255</v>
      </c>
      <c r="E52" s="14" t="s">
        <v>156</v>
      </c>
      <c r="F52" s="14" t="s">
        <v>169</v>
      </c>
      <c r="G52" s="14" t="s">
        <v>141</v>
      </c>
      <c r="H52" s="14" t="s">
        <v>67</v>
      </c>
      <c r="I52" s="14" t="str">
        <f aca="false">IFERROR(INDEX(Calculations!$B$6:$B$27,MATCH(H52,Calculations!$A$6:$A$27,0)),"Unknown")</f>
        <v>Computer Peripherals</v>
      </c>
      <c r="J52" s="14" t="n">
        <v>1</v>
      </c>
      <c r="K52" s="16" t="n">
        <v>1821.61</v>
      </c>
      <c r="L52" s="17" t="n">
        <v>0</v>
      </c>
      <c r="M52" s="18" t="n">
        <f aca="false">J52*K52*(1-L52)</f>
        <v>1821.61</v>
      </c>
      <c r="N52" s="18" t="n">
        <f aca="false">J52*IFERROR(INDEX(Calculations!$C$6:$C$27,MATCH(H52,Calculations!$A$6:$A$27,0)),0)</f>
        <v>900</v>
      </c>
      <c r="O52" s="18" t="n">
        <f aca="false">M52-N52</f>
        <v>921.61</v>
      </c>
      <c r="P52" s="18" t="n">
        <f aca="false">M52*IFERROR(INDEX(Calculations!$F$6:$F$11,MATCH(I52,Calculations!$E$6:$E$11,0)),0.1)</f>
        <v>145.7288</v>
      </c>
      <c r="Q52" s="18" t="n">
        <f aca="false">O52-P52</f>
        <v>775.8812</v>
      </c>
      <c r="R52" s="14" t="s">
        <v>135</v>
      </c>
      <c r="S52" s="14" t="s">
        <v>125</v>
      </c>
    </row>
    <row r="53" customFormat="false" ht="15" hidden="false" customHeight="false" outlineLevel="0" collapsed="false">
      <c r="A53" s="14" t="s">
        <v>293</v>
      </c>
      <c r="B53" s="15" t="n">
        <v>45904</v>
      </c>
      <c r="C53" s="14" t="s">
        <v>224</v>
      </c>
      <c r="D53" s="14" t="s">
        <v>225</v>
      </c>
      <c r="E53" s="14" t="s">
        <v>121</v>
      </c>
      <c r="F53" s="14" t="s">
        <v>122</v>
      </c>
      <c r="G53" s="14" t="s">
        <v>161</v>
      </c>
      <c r="H53" s="14" t="s">
        <v>66</v>
      </c>
      <c r="I53" s="14" t="str">
        <f aca="false">IFERROR(INDEX(Calculations!$B$6:$B$27,MATCH(H53,Calculations!$A$6:$A$27,0)),"Unknown")</f>
        <v>Computer Peripherals</v>
      </c>
      <c r="J53" s="14" t="n">
        <v>1</v>
      </c>
      <c r="K53" s="16" t="n">
        <v>13218.19</v>
      </c>
      <c r="L53" s="17" t="n">
        <v>0</v>
      </c>
      <c r="M53" s="18" t="n">
        <f aca="false">J53*K53*(1-L53)</f>
        <v>13218.19</v>
      </c>
      <c r="N53" s="18" t="n">
        <f aca="false">J53*IFERROR(INDEX(Calculations!$C$6:$C$27,MATCH(H53,Calculations!$A$6:$A$27,0)),0)</f>
        <v>7200</v>
      </c>
      <c r="O53" s="18" t="n">
        <f aca="false">M53-N53</f>
        <v>6018.19</v>
      </c>
      <c r="P53" s="18" t="n">
        <f aca="false">M53*IFERROR(INDEX(Calculations!$F$6:$F$11,MATCH(I53,Calculations!$E$6:$E$11,0)),0.1)</f>
        <v>1057.4552</v>
      </c>
      <c r="Q53" s="18" t="n">
        <f aca="false">O53-P53</f>
        <v>4960.7348</v>
      </c>
      <c r="R53" s="14" t="s">
        <v>124</v>
      </c>
      <c r="S53" s="14" t="s">
        <v>125</v>
      </c>
    </row>
    <row r="54" customFormat="false" ht="15" hidden="false" customHeight="false" outlineLevel="0" collapsed="false">
      <c r="A54" s="14" t="s">
        <v>294</v>
      </c>
      <c r="B54" s="15" t="n">
        <v>45904</v>
      </c>
      <c r="C54" s="14" t="s">
        <v>254</v>
      </c>
      <c r="D54" s="14" t="s">
        <v>255</v>
      </c>
      <c r="E54" s="14" t="s">
        <v>156</v>
      </c>
      <c r="F54" s="14" t="s">
        <v>169</v>
      </c>
      <c r="G54" s="14" t="s">
        <v>175</v>
      </c>
      <c r="H54" s="14" t="s">
        <v>74</v>
      </c>
      <c r="I54" s="14" t="str">
        <f aca="false">IFERROR(INDEX(Calculations!$B$6:$B$27,MATCH(H54,Calculations!$A$6:$A$27,0)),"Unknown")</f>
        <v>Wearables</v>
      </c>
      <c r="J54" s="14" t="n">
        <v>1</v>
      </c>
      <c r="K54" s="16" t="n">
        <v>6259.75</v>
      </c>
      <c r="L54" s="17" t="n">
        <v>0</v>
      </c>
      <c r="M54" s="18" t="n">
        <f aca="false">J54*K54*(1-L54)</f>
        <v>6259.75</v>
      </c>
      <c r="N54" s="18" t="n">
        <f aca="false">J54*IFERROR(INDEX(Calculations!$C$6:$C$27,MATCH(H54,Calculations!$A$6:$A$27,0)),0)</f>
        <v>3800</v>
      </c>
      <c r="O54" s="18" t="n">
        <f aca="false">M54-N54</f>
        <v>2459.75</v>
      </c>
      <c r="P54" s="18" t="n">
        <f aca="false">M54*IFERROR(INDEX(Calculations!$F$6:$F$11,MATCH(I54,Calculations!$E$6:$E$11,0)),0.1)</f>
        <v>563.3775</v>
      </c>
      <c r="Q54" s="18" t="n">
        <f aca="false">O54-P54</f>
        <v>1896.3725</v>
      </c>
      <c r="R54" s="14" t="s">
        <v>165</v>
      </c>
      <c r="S54" s="14" t="s">
        <v>125</v>
      </c>
    </row>
    <row r="55" customFormat="false" ht="15" hidden="false" customHeight="false" outlineLevel="0" collapsed="false">
      <c r="A55" s="14" t="s">
        <v>295</v>
      </c>
      <c r="B55" s="15" t="n">
        <v>45904</v>
      </c>
      <c r="C55" s="14" t="s">
        <v>227</v>
      </c>
      <c r="D55" s="14" t="s">
        <v>228</v>
      </c>
      <c r="E55" s="14" t="s">
        <v>145</v>
      </c>
      <c r="F55" s="14" t="s">
        <v>146</v>
      </c>
      <c r="G55" s="14" t="s">
        <v>123</v>
      </c>
      <c r="H55" s="14" t="s">
        <v>50</v>
      </c>
      <c r="I55" s="14" t="str">
        <f aca="false">IFERROR(INDEX(Calculations!$B$6:$B$27,MATCH(H55,Calculations!$A$6:$A$27,0)),"Unknown")</f>
        <v>Audio</v>
      </c>
      <c r="J55" s="14" t="n">
        <v>3</v>
      </c>
      <c r="K55" s="16" t="n">
        <v>1315.94</v>
      </c>
      <c r="L55" s="17" t="n">
        <v>0.15</v>
      </c>
      <c r="M55" s="18" t="n">
        <f aca="false">J55*K55*(1-L55)</f>
        <v>3355.647</v>
      </c>
      <c r="N55" s="18" t="n">
        <f aca="false">J55*IFERROR(INDEX(Calculations!$C$6:$C$27,MATCH(H55,Calculations!$A$6:$A$27,0)),0)</f>
        <v>1950</v>
      </c>
      <c r="O55" s="18" t="n">
        <f aca="false">M55-N55</f>
        <v>1405.647</v>
      </c>
      <c r="P55" s="18" t="n">
        <f aca="false">M55*IFERROR(INDEX(Calculations!$F$6:$F$11,MATCH(I55,Calculations!$E$6:$E$11,0)),0.1)</f>
        <v>335.5647</v>
      </c>
      <c r="Q55" s="18" t="n">
        <f aca="false">O55-P55</f>
        <v>1070.0823</v>
      </c>
      <c r="R55" s="14" t="s">
        <v>124</v>
      </c>
      <c r="S55" s="14" t="s">
        <v>125</v>
      </c>
    </row>
    <row r="56" customFormat="false" ht="15" hidden="false" customHeight="false" outlineLevel="0" collapsed="false">
      <c r="A56" s="14" t="s">
        <v>296</v>
      </c>
      <c r="B56" s="15" t="n">
        <v>45904</v>
      </c>
      <c r="C56" s="14" t="s">
        <v>297</v>
      </c>
      <c r="D56" s="14" t="s">
        <v>298</v>
      </c>
      <c r="E56" s="14" t="s">
        <v>194</v>
      </c>
      <c r="F56" s="14" t="s">
        <v>195</v>
      </c>
      <c r="G56" s="14" t="s">
        <v>161</v>
      </c>
      <c r="H56" s="14" t="s">
        <v>64</v>
      </c>
      <c r="I56" s="14" t="str">
        <f aca="false">IFERROR(INDEX(Calculations!$B$6:$B$27,MATCH(H56,Calculations!$A$6:$A$27,0)),"Unknown")</f>
        <v>Computer Peripherals</v>
      </c>
      <c r="J56" s="14" t="n">
        <v>1</v>
      </c>
      <c r="K56" s="16" t="n">
        <v>802.2</v>
      </c>
      <c r="L56" s="17" t="n">
        <v>0.1</v>
      </c>
      <c r="M56" s="18" t="n">
        <f aca="false">J56*K56*(1-L56)</f>
        <v>721.98</v>
      </c>
      <c r="N56" s="18" t="n">
        <f aca="false">J56*IFERROR(INDEX(Calculations!$C$6:$C$27,MATCH(H56,Calculations!$A$6:$A$27,0)),0)</f>
        <v>350</v>
      </c>
      <c r="O56" s="18" t="n">
        <f aca="false">M56-N56</f>
        <v>371.98</v>
      </c>
      <c r="P56" s="18" t="n">
        <f aca="false">M56*IFERROR(INDEX(Calculations!$F$6:$F$11,MATCH(I56,Calculations!$E$6:$E$11,0)),0.1)</f>
        <v>57.7584</v>
      </c>
      <c r="Q56" s="18" t="n">
        <f aca="false">O56-P56</f>
        <v>314.2216</v>
      </c>
      <c r="R56" s="14" t="s">
        <v>130</v>
      </c>
      <c r="S56" s="14" t="s">
        <v>125</v>
      </c>
    </row>
    <row r="57" customFormat="false" ht="15" hidden="false" customHeight="false" outlineLevel="0" collapsed="false">
      <c r="A57" s="14" t="s">
        <v>299</v>
      </c>
      <c r="B57" s="15" t="n">
        <v>45907</v>
      </c>
      <c r="C57" s="14" t="s">
        <v>300</v>
      </c>
      <c r="D57" s="14" t="s">
        <v>301</v>
      </c>
      <c r="E57" s="14" t="s">
        <v>139</v>
      </c>
      <c r="F57" s="14" t="s">
        <v>140</v>
      </c>
      <c r="G57" s="14" t="s">
        <v>209</v>
      </c>
      <c r="H57" s="14" t="s">
        <v>63</v>
      </c>
      <c r="I57" s="14" t="str">
        <f aca="false">IFERROR(INDEX(Calculations!$B$6:$B$27,MATCH(H57,Calculations!$A$6:$A$27,0)),"Unknown")</f>
        <v>Mobile Accessories</v>
      </c>
      <c r="J57" s="14" t="n">
        <v>1</v>
      </c>
      <c r="K57" s="16" t="n">
        <v>345.65</v>
      </c>
      <c r="L57" s="17" t="n">
        <v>0.1</v>
      </c>
      <c r="M57" s="18" t="n">
        <f aca="false">J57*K57*(1-L57)</f>
        <v>311.085</v>
      </c>
      <c r="N57" s="18" t="n">
        <f aca="false">J57*IFERROR(INDEX(Calculations!$C$6:$C$27,MATCH(H57,Calculations!$A$6:$A$27,0)),0)</f>
        <v>150</v>
      </c>
      <c r="O57" s="18" t="n">
        <f aca="false">M57-N57</f>
        <v>161.085</v>
      </c>
      <c r="P57" s="18" t="n">
        <f aca="false">M57*IFERROR(INDEX(Calculations!$F$6:$F$11,MATCH(I57,Calculations!$E$6:$E$11,0)),0.1)</f>
        <v>37.3302</v>
      </c>
      <c r="Q57" s="18" t="n">
        <f aca="false">O57-P57</f>
        <v>123.7548</v>
      </c>
      <c r="R57" s="14" t="s">
        <v>130</v>
      </c>
      <c r="S57" s="14" t="s">
        <v>125</v>
      </c>
    </row>
    <row r="58" customFormat="false" ht="15" hidden="false" customHeight="false" outlineLevel="0" collapsed="false">
      <c r="A58" s="14" t="s">
        <v>302</v>
      </c>
      <c r="B58" s="15" t="n">
        <v>45907</v>
      </c>
      <c r="C58" s="14" t="s">
        <v>137</v>
      </c>
      <c r="D58" s="14" t="s">
        <v>138</v>
      </c>
      <c r="E58" s="14" t="s">
        <v>139</v>
      </c>
      <c r="F58" s="14" t="s">
        <v>140</v>
      </c>
      <c r="G58" s="14" t="s">
        <v>141</v>
      </c>
      <c r="H58" s="14" t="s">
        <v>67</v>
      </c>
      <c r="I58" s="14" t="str">
        <f aca="false">IFERROR(INDEX(Calculations!$B$6:$B$27,MATCH(H58,Calculations!$A$6:$A$27,0)),"Unknown")</f>
        <v>Computer Peripherals</v>
      </c>
      <c r="J58" s="14" t="n">
        <v>2</v>
      </c>
      <c r="K58" s="16" t="n">
        <v>1864.77</v>
      </c>
      <c r="L58" s="17" t="n">
        <v>0.05</v>
      </c>
      <c r="M58" s="18" t="n">
        <f aca="false">J58*K58*(1-L58)</f>
        <v>3543.063</v>
      </c>
      <c r="N58" s="18" t="n">
        <f aca="false">J58*IFERROR(INDEX(Calculations!$C$6:$C$27,MATCH(H58,Calculations!$A$6:$A$27,0)),0)</f>
        <v>1800</v>
      </c>
      <c r="O58" s="18" t="n">
        <f aca="false">M58-N58</f>
        <v>1743.063</v>
      </c>
      <c r="P58" s="18" t="n">
        <f aca="false">M58*IFERROR(INDEX(Calculations!$F$6:$F$11,MATCH(I58,Calculations!$E$6:$E$11,0)),0.1)</f>
        <v>283.44504</v>
      </c>
      <c r="Q58" s="18" t="n">
        <f aca="false">O58-P58</f>
        <v>1459.61796</v>
      </c>
      <c r="R58" s="14" t="s">
        <v>165</v>
      </c>
      <c r="S58" s="14" t="s">
        <v>125</v>
      </c>
    </row>
    <row r="59" customFormat="false" ht="15" hidden="false" customHeight="false" outlineLevel="0" collapsed="false">
      <c r="A59" s="14" t="s">
        <v>303</v>
      </c>
      <c r="B59" s="15" t="n">
        <v>45908</v>
      </c>
      <c r="C59" s="14" t="s">
        <v>304</v>
      </c>
      <c r="D59" s="14" t="s">
        <v>305</v>
      </c>
      <c r="E59" s="14" t="s">
        <v>156</v>
      </c>
      <c r="F59" s="14" t="s">
        <v>157</v>
      </c>
      <c r="G59" s="14" t="s">
        <v>209</v>
      </c>
      <c r="H59" s="14" t="s">
        <v>72</v>
      </c>
      <c r="I59" s="14" t="str">
        <f aca="false">IFERROR(INDEX(Calculations!$B$6:$B$27,MATCH(H59,Calculations!$A$6:$A$27,0)),"Unknown")</f>
        <v>Smart Home</v>
      </c>
      <c r="J59" s="14" t="n">
        <v>4</v>
      </c>
      <c r="K59" s="16" t="n">
        <v>4550.95</v>
      </c>
      <c r="L59" s="17" t="n">
        <v>0.05</v>
      </c>
      <c r="M59" s="18" t="n">
        <f aca="false">J59*K59*(1-L59)</f>
        <v>17293.61</v>
      </c>
      <c r="N59" s="18" t="n">
        <f aca="false">J59*IFERROR(INDEX(Calculations!$C$6:$C$27,MATCH(H59,Calculations!$A$6:$A$27,0)),0)</f>
        <v>10400</v>
      </c>
      <c r="O59" s="18" t="n">
        <f aca="false">M59-N59</f>
        <v>6893.61</v>
      </c>
      <c r="P59" s="18" t="n">
        <f aca="false">M59*IFERROR(INDEX(Calculations!$F$6:$F$11,MATCH(I59,Calculations!$E$6:$E$11,0)),0.1)</f>
        <v>1902.2971</v>
      </c>
      <c r="Q59" s="18" t="n">
        <f aca="false">O59-P59</f>
        <v>4991.3129</v>
      </c>
      <c r="R59" s="14" t="s">
        <v>243</v>
      </c>
      <c r="S59" s="14" t="s">
        <v>125</v>
      </c>
    </row>
    <row r="60" customFormat="false" ht="15" hidden="false" customHeight="false" outlineLevel="0" collapsed="false">
      <c r="A60" s="14" t="s">
        <v>306</v>
      </c>
      <c r="B60" s="15" t="n">
        <v>45909</v>
      </c>
      <c r="C60" s="14" t="s">
        <v>307</v>
      </c>
      <c r="D60" s="14" t="s">
        <v>308</v>
      </c>
      <c r="E60" s="14" t="s">
        <v>121</v>
      </c>
      <c r="F60" s="14" t="s">
        <v>129</v>
      </c>
      <c r="G60" s="14" t="s">
        <v>209</v>
      </c>
      <c r="H60" s="14" t="s">
        <v>76</v>
      </c>
      <c r="I60" s="14" t="str">
        <f aca="false">IFERROR(INDEX(Calculations!$B$6:$B$27,MATCH(H60,Calculations!$A$6:$A$27,0)),"Unknown")</f>
        <v>Cameras</v>
      </c>
      <c r="J60" s="14" t="n">
        <v>4</v>
      </c>
      <c r="K60" s="16" t="n">
        <v>7708.72</v>
      </c>
      <c r="L60" s="17" t="n">
        <v>0.1</v>
      </c>
      <c r="M60" s="18" t="n">
        <f aca="false">J60*K60*(1-L60)</f>
        <v>27751.392</v>
      </c>
      <c r="N60" s="18" t="n">
        <f aca="false">J60*IFERROR(INDEX(Calculations!$C$6:$C$27,MATCH(H60,Calculations!$A$6:$A$27,0)),0)</f>
        <v>16800</v>
      </c>
      <c r="O60" s="18" t="n">
        <f aca="false">M60-N60</f>
        <v>10951.392</v>
      </c>
      <c r="P60" s="18" t="n">
        <f aca="false">M60*IFERROR(INDEX(Calculations!$F$6:$F$11,MATCH(I60,Calculations!$E$6:$E$11,0)),0.1)</f>
        <v>2081.3544</v>
      </c>
      <c r="Q60" s="18" t="n">
        <f aca="false">O60-P60</f>
        <v>8870.0376</v>
      </c>
      <c r="R60" s="14" t="s">
        <v>165</v>
      </c>
      <c r="S60" s="14" t="s">
        <v>125</v>
      </c>
    </row>
    <row r="61" customFormat="false" ht="15" hidden="false" customHeight="false" outlineLevel="0" collapsed="false">
      <c r="A61" s="14" t="s">
        <v>309</v>
      </c>
      <c r="B61" s="15" t="n">
        <v>45909</v>
      </c>
      <c r="C61" s="14" t="s">
        <v>212</v>
      </c>
      <c r="D61" s="14" t="s">
        <v>213</v>
      </c>
      <c r="E61" s="14" t="s">
        <v>145</v>
      </c>
      <c r="F61" s="14" t="s">
        <v>146</v>
      </c>
      <c r="G61" s="14" t="s">
        <v>147</v>
      </c>
      <c r="H61" s="14" t="s">
        <v>65</v>
      </c>
      <c r="I61" s="14" t="str">
        <f aca="false">IFERROR(INDEX(Calculations!$B$6:$B$27,MATCH(H61,Calculations!$A$6:$A$27,0)),"Unknown")</f>
        <v>Computer Peripherals</v>
      </c>
      <c r="J61" s="14" t="n">
        <v>5</v>
      </c>
      <c r="K61" s="16" t="n">
        <v>3095.89</v>
      </c>
      <c r="L61" s="17" t="n">
        <v>0.1</v>
      </c>
      <c r="M61" s="18" t="n">
        <f aca="false">J61*K61*(1-L61)</f>
        <v>13931.505</v>
      </c>
      <c r="N61" s="18" t="n">
        <f aca="false">J61*IFERROR(INDEX(Calculations!$C$6:$C$27,MATCH(H61,Calculations!$A$6:$A$27,0)),0)</f>
        <v>8000</v>
      </c>
      <c r="O61" s="18" t="n">
        <f aca="false">M61-N61</f>
        <v>5931.505</v>
      </c>
      <c r="P61" s="18" t="n">
        <f aca="false">M61*IFERROR(INDEX(Calculations!$F$6:$F$11,MATCH(I61,Calculations!$E$6:$E$11,0)),0.1)</f>
        <v>1114.5204</v>
      </c>
      <c r="Q61" s="18" t="n">
        <f aca="false">O61-P61</f>
        <v>4816.9846</v>
      </c>
      <c r="R61" s="14" t="s">
        <v>124</v>
      </c>
      <c r="S61" s="14" t="s">
        <v>125</v>
      </c>
    </row>
    <row r="62" customFormat="false" ht="15" hidden="false" customHeight="false" outlineLevel="0" collapsed="false">
      <c r="A62" s="14" t="s">
        <v>310</v>
      </c>
      <c r="B62" s="15" t="n">
        <v>45910</v>
      </c>
      <c r="C62" s="14" t="s">
        <v>215</v>
      </c>
      <c r="D62" s="14" t="s">
        <v>216</v>
      </c>
      <c r="E62" s="14" t="s">
        <v>194</v>
      </c>
      <c r="F62" s="14" t="s">
        <v>195</v>
      </c>
      <c r="G62" s="14" t="s">
        <v>170</v>
      </c>
      <c r="H62" s="14" t="s">
        <v>63</v>
      </c>
      <c r="I62" s="14" t="str">
        <f aca="false">IFERROR(INDEX(Calculations!$B$6:$B$27,MATCH(H62,Calculations!$A$6:$A$27,0)),"Unknown")</f>
        <v>Mobile Accessories</v>
      </c>
      <c r="J62" s="14" t="n">
        <v>2</v>
      </c>
      <c r="K62" s="16" t="n">
        <v>351.04</v>
      </c>
      <c r="L62" s="17" t="n">
        <v>0</v>
      </c>
      <c r="M62" s="18" t="n">
        <f aca="false">J62*K62*(1-L62)</f>
        <v>702.08</v>
      </c>
      <c r="N62" s="18" t="n">
        <f aca="false">J62*IFERROR(INDEX(Calculations!$C$6:$C$27,MATCH(H62,Calculations!$A$6:$A$27,0)),0)</f>
        <v>300</v>
      </c>
      <c r="O62" s="18" t="n">
        <f aca="false">M62-N62</f>
        <v>402.08</v>
      </c>
      <c r="P62" s="18" t="n">
        <f aca="false">M62*IFERROR(INDEX(Calculations!$F$6:$F$11,MATCH(I62,Calculations!$E$6:$E$11,0)),0.1)</f>
        <v>84.2496</v>
      </c>
      <c r="Q62" s="18" t="n">
        <f aca="false">O62-P62</f>
        <v>317.8304</v>
      </c>
      <c r="R62" s="14" t="s">
        <v>124</v>
      </c>
      <c r="S62" s="14" t="s">
        <v>125</v>
      </c>
    </row>
    <row r="63" customFormat="false" ht="15" hidden="false" customHeight="false" outlineLevel="0" collapsed="false">
      <c r="A63" s="14" t="s">
        <v>311</v>
      </c>
      <c r="B63" s="15" t="n">
        <v>45911</v>
      </c>
      <c r="C63" s="14" t="s">
        <v>312</v>
      </c>
      <c r="D63" s="14" t="s">
        <v>313</v>
      </c>
      <c r="E63" s="14" t="s">
        <v>121</v>
      </c>
      <c r="F63" s="14" t="s">
        <v>129</v>
      </c>
      <c r="G63" s="14" t="s">
        <v>170</v>
      </c>
      <c r="H63" s="14" t="s">
        <v>60</v>
      </c>
      <c r="I63" s="14" t="str">
        <f aca="false">IFERROR(INDEX(Calculations!$B$6:$B$27,MATCH(H63,Calculations!$A$6:$A$27,0)),"Unknown")</f>
        <v>Mobile Accessories</v>
      </c>
      <c r="J63" s="14" t="n">
        <v>1</v>
      </c>
      <c r="K63" s="16" t="n">
        <v>258.69</v>
      </c>
      <c r="L63" s="17" t="n">
        <v>0.05</v>
      </c>
      <c r="M63" s="18" t="n">
        <f aca="false">J63*K63*(1-L63)</f>
        <v>245.7555</v>
      </c>
      <c r="N63" s="18" t="n">
        <f aca="false">J63*IFERROR(INDEX(Calculations!$C$6:$C$27,MATCH(H63,Calculations!$A$6:$A$27,0)),0)</f>
        <v>90</v>
      </c>
      <c r="O63" s="18" t="n">
        <f aca="false">M63-N63</f>
        <v>155.7555</v>
      </c>
      <c r="P63" s="18" t="n">
        <f aca="false">M63*IFERROR(INDEX(Calculations!$F$6:$F$11,MATCH(I63,Calculations!$E$6:$E$11,0)),0.1)</f>
        <v>29.49066</v>
      </c>
      <c r="Q63" s="18" t="n">
        <f aca="false">O63-P63</f>
        <v>126.26484</v>
      </c>
      <c r="R63" s="14" t="s">
        <v>130</v>
      </c>
      <c r="S63" s="14" t="s">
        <v>125</v>
      </c>
    </row>
    <row r="64" customFormat="false" ht="15" hidden="false" customHeight="false" outlineLevel="0" collapsed="false">
      <c r="A64" s="14" t="s">
        <v>314</v>
      </c>
      <c r="B64" s="15" t="n">
        <v>45913</v>
      </c>
      <c r="C64" s="14" t="s">
        <v>315</v>
      </c>
      <c r="D64" s="14" t="s">
        <v>316</v>
      </c>
      <c r="E64" s="14" t="s">
        <v>194</v>
      </c>
      <c r="F64" s="14" t="s">
        <v>259</v>
      </c>
      <c r="G64" s="14" t="s">
        <v>175</v>
      </c>
      <c r="H64" s="14" t="s">
        <v>75</v>
      </c>
      <c r="I64" s="14" t="str">
        <f aca="false">IFERROR(INDEX(Calculations!$B$6:$B$27,MATCH(H64,Calculations!$A$6:$A$27,0)),"Unknown")</f>
        <v>Wearables</v>
      </c>
      <c r="J64" s="14" t="n">
        <v>1</v>
      </c>
      <c r="K64" s="16" t="n">
        <v>3366.15</v>
      </c>
      <c r="L64" s="17" t="n">
        <v>0</v>
      </c>
      <c r="M64" s="18" t="n">
        <f aca="false">J64*K64*(1-L64)</f>
        <v>3366.15</v>
      </c>
      <c r="N64" s="18" t="n">
        <f aca="false">J64*IFERROR(INDEX(Calculations!$C$6:$C$27,MATCH(H64,Calculations!$A$6:$A$27,0)),0)</f>
        <v>1900</v>
      </c>
      <c r="O64" s="18" t="n">
        <f aca="false">M64-N64</f>
        <v>1466.15</v>
      </c>
      <c r="P64" s="18" t="n">
        <f aca="false">M64*IFERROR(INDEX(Calculations!$F$6:$F$11,MATCH(I64,Calculations!$E$6:$E$11,0)),0.1)</f>
        <v>302.9535</v>
      </c>
      <c r="Q64" s="18" t="n">
        <f aca="false">O64-P64</f>
        <v>1163.1965</v>
      </c>
      <c r="R64" s="14" t="s">
        <v>130</v>
      </c>
      <c r="S64" s="14" t="s">
        <v>125</v>
      </c>
    </row>
    <row r="65" customFormat="false" ht="15" hidden="false" customHeight="false" outlineLevel="0" collapsed="false">
      <c r="A65" s="14" t="s">
        <v>317</v>
      </c>
      <c r="B65" s="15" t="n">
        <v>45913</v>
      </c>
      <c r="C65" s="14" t="s">
        <v>318</v>
      </c>
      <c r="D65" s="14" t="s">
        <v>319</v>
      </c>
      <c r="E65" s="14" t="s">
        <v>156</v>
      </c>
      <c r="F65" s="14" t="s">
        <v>157</v>
      </c>
      <c r="G65" s="14" t="s">
        <v>134</v>
      </c>
      <c r="H65" s="14" t="s">
        <v>66</v>
      </c>
      <c r="I65" s="14" t="str">
        <f aca="false">IFERROR(INDEX(Calculations!$B$6:$B$27,MATCH(H65,Calculations!$A$6:$A$27,0)),"Unknown")</f>
        <v>Computer Peripherals</v>
      </c>
      <c r="J65" s="14" t="n">
        <v>1</v>
      </c>
      <c r="K65" s="16" t="n">
        <v>13214.91</v>
      </c>
      <c r="L65" s="17" t="n">
        <v>0.2</v>
      </c>
      <c r="M65" s="18" t="n">
        <f aca="false">J65*K65*(1-L65)</f>
        <v>10571.928</v>
      </c>
      <c r="N65" s="18" t="n">
        <f aca="false">J65*IFERROR(INDEX(Calculations!$C$6:$C$27,MATCH(H65,Calculations!$A$6:$A$27,0)),0)</f>
        <v>7200</v>
      </c>
      <c r="O65" s="18" t="n">
        <f aca="false">M65-N65</f>
        <v>3371.928</v>
      </c>
      <c r="P65" s="18" t="n">
        <f aca="false">M65*IFERROR(INDEX(Calculations!$F$6:$F$11,MATCH(I65,Calculations!$E$6:$E$11,0)),0.1)</f>
        <v>845.75424</v>
      </c>
      <c r="Q65" s="18" t="n">
        <f aca="false">O65-P65</f>
        <v>2526.17376</v>
      </c>
      <c r="R65" s="14" t="s">
        <v>124</v>
      </c>
      <c r="S65" s="14" t="s">
        <v>125</v>
      </c>
    </row>
    <row r="66" customFormat="false" ht="15" hidden="false" customHeight="false" outlineLevel="0" collapsed="false">
      <c r="A66" s="14" t="s">
        <v>320</v>
      </c>
      <c r="B66" s="15" t="n">
        <v>45913</v>
      </c>
      <c r="C66" s="14" t="s">
        <v>321</v>
      </c>
      <c r="D66" s="14" t="s">
        <v>322</v>
      </c>
      <c r="E66" s="14" t="s">
        <v>156</v>
      </c>
      <c r="F66" s="14" t="s">
        <v>157</v>
      </c>
      <c r="G66" s="14" t="s">
        <v>209</v>
      </c>
      <c r="H66" s="14" t="s">
        <v>70</v>
      </c>
      <c r="I66" s="14" t="str">
        <f aca="false">IFERROR(INDEX(Calculations!$B$6:$B$27,MATCH(H66,Calculations!$A$6:$A$27,0)),"Unknown")</f>
        <v>Smart Home</v>
      </c>
      <c r="J66" s="14" t="n">
        <v>2</v>
      </c>
      <c r="K66" s="16" t="n">
        <v>4042.9</v>
      </c>
      <c r="L66" s="17" t="n">
        <v>0.05</v>
      </c>
      <c r="M66" s="18" t="n">
        <f aca="false">J66*K66*(1-L66)</f>
        <v>7681.51</v>
      </c>
      <c r="N66" s="18" t="n">
        <f aca="false">J66*IFERROR(INDEX(Calculations!$C$6:$C$27,MATCH(H66,Calculations!$A$6:$A$27,0)),0)</f>
        <v>4400</v>
      </c>
      <c r="O66" s="18" t="n">
        <f aca="false">M66-N66</f>
        <v>3281.51</v>
      </c>
      <c r="P66" s="18" t="n">
        <f aca="false">M66*IFERROR(INDEX(Calculations!$F$6:$F$11,MATCH(I66,Calculations!$E$6:$E$11,0)),0.1)</f>
        <v>844.9661</v>
      </c>
      <c r="Q66" s="18" t="n">
        <f aca="false">O66-P66</f>
        <v>2436.5439</v>
      </c>
      <c r="R66" s="14" t="s">
        <v>135</v>
      </c>
      <c r="S66" s="14" t="s">
        <v>125</v>
      </c>
    </row>
    <row r="67" customFormat="false" ht="15" hidden="false" customHeight="false" outlineLevel="0" collapsed="false">
      <c r="A67" s="14" t="s">
        <v>323</v>
      </c>
      <c r="B67" s="15" t="n">
        <v>45913</v>
      </c>
      <c r="C67" s="14" t="s">
        <v>197</v>
      </c>
      <c r="D67" s="14" t="s">
        <v>198</v>
      </c>
      <c r="E67" s="14" t="s">
        <v>121</v>
      </c>
      <c r="F67" s="14" t="s">
        <v>129</v>
      </c>
      <c r="G67" s="14" t="s">
        <v>161</v>
      </c>
      <c r="H67" s="14" t="s">
        <v>73</v>
      </c>
      <c r="I67" s="14" t="str">
        <f aca="false">IFERROR(INDEX(Calculations!$B$6:$B$27,MATCH(H67,Calculations!$A$6:$A$27,0)),"Unknown")</f>
        <v>Wearables</v>
      </c>
      <c r="J67" s="14" t="n">
        <v>1</v>
      </c>
      <c r="K67" s="16" t="n">
        <v>2037.61</v>
      </c>
      <c r="L67" s="17" t="n">
        <v>0.1</v>
      </c>
      <c r="M67" s="18" t="n">
        <f aca="false">J67*K67*(1-L67)</f>
        <v>1833.849</v>
      </c>
      <c r="N67" s="18" t="n">
        <f aca="false">J67*IFERROR(INDEX(Calculations!$C$6:$C$27,MATCH(H67,Calculations!$A$6:$A$27,0)),0)</f>
        <v>1100</v>
      </c>
      <c r="O67" s="18" t="n">
        <f aca="false">M67-N67</f>
        <v>733.849</v>
      </c>
      <c r="P67" s="18" t="n">
        <f aca="false">M67*IFERROR(INDEX(Calculations!$F$6:$F$11,MATCH(I67,Calculations!$E$6:$E$11,0)),0.1)</f>
        <v>165.04641</v>
      </c>
      <c r="Q67" s="18" t="n">
        <f aca="false">O67-P67</f>
        <v>568.80259</v>
      </c>
      <c r="R67" s="14" t="s">
        <v>130</v>
      </c>
      <c r="S67" s="14" t="s">
        <v>205</v>
      </c>
    </row>
    <row r="68" customFormat="false" ht="15" hidden="false" customHeight="false" outlineLevel="0" collapsed="false">
      <c r="A68" s="14" t="s">
        <v>324</v>
      </c>
      <c r="B68" s="15" t="n">
        <v>45914</v>
      </c>
      <c r="C68" s="14" t="s">
        <v>287</v>
      </c>
      <c r="D68" s="14" t="s">
        <v>288</v>
      </c>
      <c r="E68" s="14" t="s">
        <v>139</v>
      </c>
      <c r="F68" s="14" t="s">
        <v>152</v>
      </c>
      <c r="G68" s="14" t="s">
        <v>209</v>
      </c>
      <c r="H68" s="14" t="s">
        <v>52</v>
      </c>
      <c r="I68" s="14" t="str">
        <f aca="false">IFERROR(INDEX(Calculations!$B$6:$B$27,MATCH(H68,Calculations!$A$6:$A$27,0)),"Unknown")</f>
        <v>Audio</v>
      </c>
      <c r="J68" s="14" t="n">
        <v>1</v>
      </c>
      <c r="K68" s="16" t="n">
        <v>1943.7</v>
      </c>
      <c r="L68" s="17" t="n">
        <v>0.05</v>
      </c>
      <c r="M68" s="18" t="n">
        <f aca="false">J68*K68*(1-L68)</f>
        <v>1846.515</v>
      </c>
      <c r="N68" s="18" t="n">
        <f aca="false">J68*IFERROR(INDEX(Calculations!$C$6:$C$27,MATCH(H68,Calculations!$A$6:$A$27,0)),0)</f>
        <v>900</v>
      </c>
      <c r="O68" s="18" t="n">
        <f aca="false">M68-N68</f>
        <v>946.515</v>
      </c>
      <c r="P68" s="18" t="n">
        <f aca="false">M68*IFERROR(INDEX(Calculations!$F$6:$F$11,MATCH(I68,Calculations!$E$6:$E$11,0)),0.1)</f>
        <v>184.6515</v>
      </c>
      <c r="Q68" s="18" t="n">
        <f aca="false">O68-P68</f>
        <v>761.8635</v>
      </c>
      <c r="R68" s="14" t="s">
        <v>135</v>
      </c>
      <c r="S68" s="14" t="s">
        <v>125</v>
      </c>
    </row>
    <row r="69" customFormat="false" ht="15" hidden="false" customHeight="false" outlineLevel="0" collapsed="false">
      <c r="A69" s="14" t="s">
        <v>325</v>
      </c>
      <c r="B69" s="15" t="n">
        <v>45914</v>
      </c>
      <c r="C69" s="14" t="s">
        <v>326</v>
      </c>
      <c r="D69" s="14" t="s">
        <v>327</v>
      </c>
      <c r="E69" s="14" t="s">
        <v>194</v>
      </c>
      <c r="F69" s="14" t="s">
        <v>195</v>
      </c>
      <c r="G69" s="14" t="s">
        <v>161</v>
      </c>
      <c r="H69" s="14" t="s">
        <v>75</v>
      </c>
      <c r="I69" s="14" t="str">
        <f aca="false">IFERROR(INDEX(Calculations!$B$6:$B$27,MATCH(H69,Calculations!$A$6:$A$27,0)),"Unknown")</f>
        <v>Wearables</v>
      </c>
      <c r="J69" s="14" t="n">
        <v>3</v>
      </c>
      <c r="K69" s="16" t="n">
        <v>3282.55</v>
      </c>
      <c r="L69" s="17" t="n">
        <v>0.05</v>
      </c>
      <c r="M69" s="18" t="n">
        <f aca="false">J69*K69*(1-L69)</f>
        <v>9355.2675</v>
      </c>
      <c r="N69" s="18" t="n">
        <f aca="false">J69*IFERROR(INDEX(Calculations!$C$6:$C$27,MATCH(H69,Calculations!$A$6:$A$27,0)),0)</f>
        <v>5700</v>
      </c>
      <c r="O69" s="18" t="n">
        <f aca="false">M69-N69</f>
        <v>3655.2675</v>
      </c>
      <c r="P69" s="18" t="n">
        <f aca="false">M69*IFERROR(INDEX(Calculations!$F$6:$F$11,MATCH(I69,Calculations!$E$6:$E$11,0)),0.1)</f>
        <v>841.974075</v>
      </c>
      <c r="Q69" s="18" t="n">
        <f aca="false">O69-P69</f>
        <v>2813.293425</v>
      </c>
      <c r="R69" s="14" t="s">
        <v>135</v>
      </c>
      <c r="S69" s="14" t="s">
        <v>125</v>
      </c>
    </row>
    <row r="70" customFormat="false" ht="15" hidden="false" customHeight="false" outlineLevel="0" collapsed="false">
      <c r="A70" s="14" t="s">
        <v>328</v>
      </c>
      <c r="B70" s="15" t="n">
        <v>45915</v>
      </c>
      <c r="C70" s="14" t="s">
        <v>329</v>
      </c>
      <c r="D70" s="14" t="s">
        <v>330</v>
      </c>
      <c r="E70" s="14" t="s">
        <v>139</v>
      </c>
      <c r="F70" s="14" t="s">
        <v>140</v>
      </c>
      <c r="G70" s="14" t="s">
        <v>141</v>
      </c>
      <c r="H70" s="14" t="s">
        <v>76</v>
      </c>
      <c r="I70" s="14" t="str">
        <f aca="false">IFERROR(INDEX(Calculations!$B$6:$B$27,MATCH(H70,Calculations!$A$6:$A$27,0)),"Unknown")</f>
        <v>Cameras</v>
      </c>
      <c r="J70" s="14" t="n">
        <v>2</v>
      </c>
      <c r="K70" s="16" t="n">
        <v>7358.15</v>
      </c>
      <c r="L70" s="17" t="n">
        <v>0</v>
      </c>
      <c r="M70" s="18" t="n">
        <f aca="false">J70*K70*(1-L70)</f>
        <v>14716.3</v>
      </c>
      <c r="N70" s="18" t="n">
        <f aca="false">J70*IFERROR(INDEX(Calculations!$C$6:$C$27,MATCH(H70,Calculations!$A$6:$A$27,0)),0)</f>
        <v>8400</v>
      </c>
      <c r="O70" s="18" t="n">
        <f aca="false">M70-N70</f>
        <v>6316.3</v>
      </c>
      <c r="P70" s="18" t="n">
        <f aca="false">M70*IFERROR(INDEX(Calculations!$F$6:$F$11,MATCH(I70,Calculations!$E$6:$E$11,0)),0.1)</f>
        <v>1103.7225</v>
      </c>
      <c r="Q70" s="18" t="n">
        <f aca="false">O70-P70</f>
        <v>5212.5775</v>
      </c>
      <c r="R70" s="14" t="s">
        <v>130</v>
      </c>
      <c r="S70" s="14" t="s">
        <v>125</v>
      </c>
    </row>
    <row r="71" customFormat="false" ht="15" hidden="false" customHeight="false" outlineLevel="0" collapsed="false">
      <c r="A71" s="14" t="s">
        <v>331</v>
      </c>
      <c r="B71" s="15" t="n">
        <v>45915</v>
      </c>
      <c r="C71" s="14" t="s">
        <v>332</v>
      </c>
      <c r="D71" s="14" t="s">
        <v>333</v>
      </c>
      <c r="E71" s="14" t="s">
        <v>121</v>
      </c>
      <c r="F71" s="14" t="s">
        <v>122</v>
      </c>
      <c r="G71" s="14" t="s">
        <v>209</v>
      </c>
      <c r="H71" s="14" t="s">
        <v>69</v>
      </c>
      <c r="I71" s="14" t="str">
        <f aca="false">IFERROR(INDEX(Calculations!$B$6:$B$27,MATCH(H71,Calculations!$A$6:$A$27,0)),"Unknown")</f>
        <v>Smart Home</v>
      </c>
      <c r="J71" s="14" t="n">
        <v>1</v>
      </c>
      <c r="K71" s="16" t="n">
        <v>790.74</v>
      </c>
      <c r="L71" s="17" t="n">
        <v>0.1</v>
      </c>
      <c r="M71" s="18" t="n">
        <f aca="false">J71*K71*(1-L71)</f>
        <v>711.666</v>
      </c>
      <c r="N71" s="18" t="n">
        <f aca="false">J71*IFERROR(INDEX(Calculations!$C$6:$C$27,MATCH(H71,Calculations!$A$6:$A$27,0)),0)</f>
        <v>350</v>
      </c>
      <c r="O71" s="18" t="n">
        <f aca="false">M71-N71</f>
        <v>361.666</v>
      </c>
      <c r="P71" s="18" t="n">
        <f aca="false">M71*IFERROR(INDEX(Calculations!$F$6:$F$11,MATCH(I71,Calculations!$E$6:$E$11,0)),0.1)</f>
        <v>78.28326</v>
      </c>
      <c r="Q71" s="18" t="n">
        <f aca="false">O71-P71</f>
        <v>283.38274</v>
      </c>
      <c r="R71" s="14" t="s">
        <v>135</v>
      </c>
      <c r="S71" s="14" t="s">
        <v>148</v>
      </c>
    </row>
    <row r="72" customFormat="false" ht="15" hidden="false" customHeight="false" outlineLevel="0" collapsed="false">
      <c r="A72" s="14" t="s">
        <v>334</v>
      </c>
      <c r="B72" s="15" t="n">
        <v>45915</v>
      </c>
      <c r="C72" s="14" t="s">
        <v>335</v>
      </c>
      <c r="D72" s="14" t="s">
        <v>336</v>
      </c>
      <c r="E72" s="14" t="s">
        <v>194</v>
      </c>
      <c r="F72" s="14" t="s">
        <v>259</v>
      </c>
      <c r="G72" s="14" t="s">
        <v>134</v>
      </c>
      <c r="H72" s="14" t="s">
        <v>73</v>
      </c>
      <c r="I72" s="14" t="str">
        <f aca="false">IFERROR(INDEX(Calculations!$B$6:$B$27,MATCH(H72,Calculations!$A$6:$A$27,0)),"Unknown")</f>
        <v>Wearables</v>
      </c>
      <c r="J72" s="14" t="n">
        <v>1</v>
      </c>
      <c r="K72" s="16" t="n">
        <v>2073.65</v>
      </c>
      <c r="L72" s="17" t="n">
        <v>0.05</v>
      </c>
      <c r="M72" s="18" t="n">
        <f aca="false">J72*K72*(1-L72)</f>
        <v>1969.9675</v>
      </c>
      <c r="N72" s="18" t="n">
        <f aca="false">J72*IFERROR(INDEX(Calculations!$C$6:$C$27,MATCH(H72,Calculations!$A$6:$A$27,0)),0)</f>
        <v>1100</v>
      </c>
      <c r="O72" s="18" t="n">
        <f aca="false">M72-N72</f>
        <v>869.9675</v>
      </c>
      <c r="P72" s="18" t="n">
        <f aca="false">M72*IFERROR(INDEX(Calculations!$F$6:$F$11,MATCH(I72,Calculations!$E$6:$E$11,0)),0.1)</f>
        <v>177.297075</v>
      </c>
      <c r="Q72" s="18" t="n">
        <f aca="false">O72-P72</f>
        <v>692.670425</v>
      </c>
      <c r="R72" s="14" t="s">
        <v>135</v>
      </c>
      <c r="S72" s="14" t="s">
        <v>125</v>
      </c>
    </row>
    <row r="73" customFormat="false" ht="15" hidden="false" customHeight="false" outlineLevel="0" collapsed="false">
      <c r="A73" s="14" t="s">
        <v>337</v>
      </c>
      <c r="B73" s="15" t="n">
        <v>45916</v>
      </c>
      <c r="C73" s="14" t="s">
        <v>338</v>
      </c>
      <c r="D73" s="14" t="s">
        <v>339</v>
      </c>
      <c r="E73" s="14" t="s">
        <v>194</v>
      </c>
      <c r="F73" s="14" t="s">
        <v>195</v>
      </c>
      <c r="G73" s="14" t="s">
        <v>147</v>
      </c>
      <c r="H73" s="14" t="s">
        <v>50</v>
      </c>
      <c r="I73" s="14" t="str">
        <f aca="false">IFERROR(INDEX(Calculations!$B$6:$B$27,MATCH(H73,Calculations!$A$6:$A$27,0)),"Unknown")</f>
        <v>Audio</v>
      </c>
      <c r="J73" s="14" t="n">
        <v>2</v>
      </c>
      <c r="K73" s="16" t="n">
        <v>1294.18</v>
      </c>
      <c r="L73" s="17" t="n">
        <v>0</v>
      </c>
      <c r="M73" s="18" t="n">
        <f aca="false">J73*K73*(1-L73)</f>
        <v>2588.36</v>
      </c>
      <c r="N73" s="18" t="n">
        <f aca="false">J73*IFERROR(INDEX(Calculations!$C$6:$C$27,MATCH(H73,Calculations!$A$6:$A$27,0)),0)</f>
        <v>1300</v>
      </c>
      <c r="O73" s="18" t="n">
        <f aca="false">M73-N73</f>
        <v>1288.36</v>
      </c>
      <c r="P73" s="18" t="n">
        <f aca="false">M73*IFERROR(INDEX(Calculations!$F$6:$F$11,MATCH(I73,Calculations!$E$6:$E$11,0)),0.1)</f>
        <v>258.836</v>
      </c>
      <c r="Q73" s="18" t="n">
        <f aca="false">O73-P73</f>
        <v>1029.524</v>
      </c>
      <c r="R73" s="14" t="s">
        <v>130</v>
      </c>
      <c r="S73" s="14" t="s">
        <v>125</v>
      </c>
    </row>
    <row r="74" customFormat="false" ht="15" hidden="false" customHeight="false" outlineLevel="0" collapsed="false">
      <c r="A74" s="14" t="s">
        <v>340</v>
      </c>
      <c r="B74" s="15" t="n">
        <v>45916</v>
      </c>
      <c r="C74" s="14" t="s">
        <v>341</v>
      </c>
      <c r="D74" s="14" t="s">
        <v>342</v>
      </c>
      <c r="E74" s="14" t="s">
        <v>139</v>
      </c>
      <c r="F74" s="14" t="s">
        <v>152</v>
      </c>
      <c r="G74" s="14" t="s">
        <v>175</v>
      </c>
      <c r="H74" s="14" t="s">
        <v>56</v>
      </c>
      <c r="I74" s="14" t="str">
        <f aca="false">IFERROR(INDEX(Calculations!$B$6:$B$27,MATCH(H74,Calculations!$A$6:$A$27,0)),"Unknown")</f>
        <v>Audio</v>
      </c>
      <c r="J74" s="14" t="n">
        <v>5</v>
      </c>
      <c r="K74" s="16" t="n">
        <v>895.03</v>
      </c>
      <c r="L74" s="17" t="n">
        <v>0.1</v>
      </c>
      <c r="M74" s="18" t="n">
        <f aca="false">J74*K74*(1-L74)</f>
        <v>4027.635</v>
      </c>
      <c r="N74" s="18" t="n">
        <f aca="false">J74*IFERROR(INDEX(Calculations!$C$6:$C$27,MATCH(H74,Calculations!$A$6:$A$27,0)),0)</f>
        <v>2250</v>
      </c>
      <c r="O74" s="18" t="n">
        <f aca="false">M74-N74</f>
        <v>1777.635</v>
      </c>
      <c r="P74" s="18" t="n">
        <f aca="false">M74*IFERROR(INDEX(Calculations!$F$6:$F$11,MATCH(I74,Calculations!$E$6:$E$11,0)),0.1)</f>
        <v>402.7635</v>
      </c>
      <c r="Q74" s="18" t="n">
        <f aca="false">O74-P74</f>
        <v>1374.8715</v>
      </c>
      <c r="R74" s="14" t="s">
        <v>130</v>
      </c>
      <c r="S74" s="14" t="s">
        <v>125</v>
      </c>
    </row>
    <row r="75" customFormat="false" ht="15" hidden="false" customHeight="false" outlineLevel="0" collapsed="false">
      <c r="A75" s="14" t="s">
        <v>343</v>
      </c>
      <c r="B75" s="15" t="n">
        <v>45916</v>
      </c>
      <c r="C75" s="14" t="s">
        <v>344</v>
      </c>
      <c r="D75" s="14" t="s">
        <v>345</v>
      </c>
      <c r="E75" s="14" t="s">
        <v>145</v>
      </c>
      <c r="F75" s="14" t="s">
        <v>174</v>
      </c>
      <c r="G75" s="14" t="s">
        <v>134</v>
      </c>
      <c r="H75" s="14" t="s">
        <v>56</v>
      </c>
      <c r="I75" s="14" t="str">
        <f aca="false">IFERROR(INDEX(Calculations!$B$6:$B$27,MATCH(H75,Calculations!$A$6:$A$27,0)),"Unknown")</f>
        <v>Audio</v>
      </c>
      <c r="J75" s="14" t="n">
        <v>3</v>
      </c>
      <c r="K75" s="16" t="n">
        <v>884.92</v>
      </c>
      <c r="L75" s="17" t="n">
        <v>0.1</v>
      </c>
      <c r="M75" s="18" t="n">
        <f aca="false">J75*K75*(1-L75)</f>
        <v>2389.284</v>
      </c>
      <c r="N75" s="18" t="n">
        <f aca="false">J75*IFERROR(INDEX(Calculations!$C$6:$C$27,MATCH(H75,Calculations!$A$6:$A$27,0)),0)</f>
        <v>1350</v>
      </c>
      <c r="O75" s="18" t="n">
        <f aca="false">M75-N75</f>
        <v>1039.284</v>
      </c>
      <c r="P75" s="18" t="n">
        <f aca="false">M75*IFERROR(INDEX(Calculations!$F$6:$F$11,MATCH(I75,Calculations!$E$6:$E$11,0)),0.1)</f>
        <v>238.9284</v>
      </c>
      <c r="Q75" s="18" t="n">
        <f aca="false">O75-P75</f>
        <v>800.3556</v>
      </c>
      <c r="R75" s="14" t="s">
        <v>135</v>
      </c>
      <c r="S75" s="14" t="s">
        <v>125</v>
      </c>
    </row>
    <row r="76" customFormat="false" ht="15" hidden="false" customHeight="false" outlineLevel="0" collapsed="false">
      <c r="A76" s="14" t="s">
        <v>346</v>
      </c>
      <c r="B76" s="15" t="n">
        <v>45916</v>
      </c>
      <c r="C76" s="14" t="s">
        <v>261</v>
      </c>
      <c r="D76" s="14" t="s">
        <v>262</v>
      </c>
      <c r="E76" s="14" t="s">
        <v>145</v>
      </c>
      <c r="F76" s="14" t="s">
        <v>146</v>
      </c>
      <c r="G76" s="14" t="s">
        <v>147</v>
      </c>
      <c r="H76" s="14" t="s">
        <v>72</v>
      </c>
      <c r="I76" s="14" t="str">
        <f aca="false">IFERROR(INDEX(Calculations!$B$6:$B$27,MATCH(H76,Calculations!$A$6:$A$27,0)),"Unknown")</f>
        <v>Smart Home</v>
      </c>
      <c r="J76" s="14" t="n">
        <v>2</v>
      </c>
      <c r="K76" s="16" t="n">
        <v>4602.07</v>
      </c>
      <c r="L76" s="17" t="n">
        <v>0</v>
      </c>
      <c r="M76" s="18" t="n">
        <f aca="false">J76*K76*(1-L76)</f>
        <v>9204.14</v>
      </c>
      <c r="N76" s="18" t="n">
        <f aca="false">J76*IFERROR(INDEX(Calculations!$C$6:$C$27,MATCH(H76,Calculations!$A$6:$A$27,0)),0)</f>
        <v>5200</v>
      </c>
      <c r="O76" s="18" t="n">
        <f aca="false">M76-N76</f>
        <v>4004.14</v>
      </c>
      <c r="P76" s="18" t="n">
        <f aca="false">M76*IFERROR(INDEX(Calculations!$F$6:$F$11,MATCH(I76,Calculations!$E$6:$E$11,0)),0.1)</f>
        <v>1012.4554</v>
      </c>
      <c r="Q76" s="18" t="n">
        <f aca="false">O76-P76</f>
        <v>2991.6846</v>
      </c>
      <c r="R76" s="14" t="s">
        <v>130</v>
      </c>
      <c r="S76" s="14" t="s">
        <v>125</v>
      </c>
    </row>
    <row r="77" customFormat="false" ht="15" hidden="false" customHeight="false" outlineLevel="0" collapsed="false">
      <c r="A77" s="14" t="s">
        <v>347</v>
      </c>
      <c r="B77" s="15" t="n">
        <v>45917</v>
      </c>
      <c r="C77" s="14" t="s">
        <v>304</v>
      </c>
      <c r="D77" s="14" t="s">
        <v>305</v>
      </c>
      <c r="E77" s="14" t="s">
        <v>156</v>
      </c>
      <c r="F77" s="14" t="s">
        <v>157</v>
      </c>
      <c r="G77" s="14" t="s">
        <v>123</v>
      </c>
      <c r="H77" s="14" t="s">
        <v>54</v>
      </c>
      <c r="I77" s="14" t="str">
        <f aca="false">IFERROR(INDEX(Calculations!$B$6:$B$27,MATCH(H77,Calculations!$A$6:$A$27,0)),"Unknown")</f>
        <v>Audio</v>
      </c>
      <c r="J77" s="14" t="n">
        <v>1</v>
      </c>
      <c r="K77" s="16" t="n">
        <v>2852.47</v>
      </c>
      <c r="L77" s="17" t="n">
        <v>0.15</v>
      </c>
      <c r="M77" s="18" t="n">
        <f aca="false">J77*K77*(1-L77)</f>
        <v>2424.5995</v>
      </c>
      <c r="N77" s="18" t="n">
        <f aca="false">J77*IFERROR(INDEX(Calculations!$C$6:$C$27,MATCH(H77,Calculations!$A$6:$A$27,0)),0)</f>
        <v>1400</v>
      </c>
      <c r="O77" s="18" t="n">
        <f aca="false">M77-N77</f>
        <v>1024.5995</v>
      </c>
      <c r="P77" s="18" t="n">
        <f aca="false">M77*IFERROR(INDEX(Calculations!$F$6:$F$11,MATCH(I77,Calculations!$E$6:$E$11,0)),0.1)</f>
        <v>242.45995</v>
      </c>
      <c r="Q77" s="18" t="n">
        <f aca="false">O77-P77</f>
        <v>782.13955</v>
      </c>
      <c r="R77" s="14" t="s">
        <v>124</v>
      </c>
      <c r="S77" s="14" t="s">
        <v>125</v>
      </c>
    </row>
    <row r="78" customFormat="false" ht="15" hidden="false" customHeight="false" outlineLevel="0" collapsed="false">
      <c r="A78" s="14" t="s">
        <v>348</v>
      </c>
      <c r="B78" s="15" t="n">
        <v>45917</v>
      </c>
      <c r="C78" s="14" t="s">
        <v>349</v>
      </c>
      <c r="D78" s="14" t="s">
        <v>350</v>
      </c>
      <c r="E78" s="14" t="s">
        <v>139</v>
      </c>
      <c r="F78" s="14" t="s">
        <v>152</v>
      </c>
      <c r="G78" s="14" t="s">
        <v>123</v>
      </c>
      <c r="H78" s="14" t="s">
        <v>72</v>
      </c>
      <c r="I78" s="14" t="str">
        <f aca="false">IFERROR(INDEX(Calculations!$B$6:$B$27,MATCH(H78,Calculations!$A$6:$A$27,0)),"Unknown")</f>
        <v>Smart Home</v>
      </c>
      <c r="J78" s="14" t="n">
        <v>2</v>
      </c>
      <c r="K78" s="16" t="n">
        <v>4325.6</v>
      </c>
      <c r="L78" s="17" t="n">
        <v>0.05</v>
      </c>
      <c r="M78" s="18" t="n">
        <f aca="false">J78*K78*(1-L78)</f>
        <v>8218.64</v>
      </c>
      <c r="N78" s="18" t="n">
        <f aca="false">J78*IFERROR(INDEX(Calculations!$C$6:$C$27,MATCH(H78,Calculations!$A$6:$A$27,0)),0)</f>
        <v>5200</v>
      </c>
      <c r="O78" s="18" t="n">
        <f aca="false">M78-N78</f>
        <v>3018.64</v>
      </c>
      <c r="P78" s="18" t="n">
        <f aca="false">M78*IFERROR(INDEX(Calculations!$F$6:$F$11,MATCH(I78,Calculations!$E$6:$E$11,0)),0.1)</f>
        <v>904.0504</v>
      </c>
      <c r="Q78" s="18" t="n">
        <f aca="false">O78-P78</f>
        <v>2114.5896</v>
      </c>
      <c r="R78" s="14" t="s">
        <v>243</v>
      </c>
      <c r="S78" s="14" t="s">
        <v>125</v>
      </c>
    </row>
    <row r="79" customFormat="false" ht="15" hidden="false" customHeight="false" outlineLevel="0" collapsed="false">
      <c r="A79" s="14" t="s">
        <v>351</v>
      </c>
      <c r="B79" s="15" t="n">
        <v>45917</v>
      </c>
      <c r="C79" s="14" t="s">
        <v>352</v>
      </c>
      <c r="D79" s="14" t="s">
        <v>353</v>
      </c>
      <c r="E79" s="14" t="s">
        <v>145</v>
      </c>
      <c r="F79" s="14" t="s">
        <v>174</v>
      </c>
      <c r="G79" s="14" t="s">
        <v>141</v>
      </c>
      <c r="H79" s="14" t="s">
        <v>64</v>
      </c>
      <c r="I79" s="14" t="str">
        <f aca="false">IFERROR(INDEX(Calculations!$B$6:$B$27,MATCH(H79,Calculations!$A$6:$A$27,0)),"Unknown")</f>
        <v>Computer Peripherals</v>
      </c>
      <c r="J79" s="14" t="n">
        <v>1</v>
      </c>
      <c r="K79" s="16" t="n">
        <v>790.81</v>
      </c>
      <c r="L79" s="17" t="n">
        <v>0.15</v>
      </c>
      <c r="M79" s="18" t="n">
        <f aca="false">J79*K79*(1-L79)</f>
        <v>672.1885</v>
      </c>
      <c r="N79" s="18" t="n">
        <f aca="false">J79*IFERROR(INDEX(Calculations!$C$6:$C$27,MATCH(H79,Calculations!$A$6:$A$27,0)),0)</f>
        <v>350</v>
      </c>
      <c r="O79" s="18" t="n">
        <f aca="false">M79-N79</f>
        <v>322.1885</v>
      </c>
      <c r="P79" s="18" t="n">
        <f aca="false">M79*IFERROR(INDEX(Calculations!$F$6:$F$11,MATCH(I79,Calculations!$E$6:$E$11,0)),0.1)</f>
        <v>53.77508</v>
      </c>
      <c r="Q79" s="18" t="n">
        <f aca="false">O79-P79</f>
        <v>268.41342</v>
      </c>
      <c r="R79" s="14" t="s">
        <v>130</v>
      </c>
      <c r="S79" s="14" t="s">
        <v>125</v>
      </c>
    </row>
    <row r="80" customFormat="false" ht="15" hidden="false" customHeight="false" outlineLevel="0" collapsed="false">
      <c r="A80" s="14" t="s">
        <v>354</v>
      </c>
      <c r="B80" s="15" t="n">
        <v>45918</v>
      </c>
      <c r="C80" s="14" t="s">
        <v>355</v>
      </c>
      <c r="D80" s="14" t="s">
        <v>356</v>
      </c>
      <c r="E80" s="14" t="s">
        <v>145</v>
      </c>
      <c r="F80" s="14" t="s">
        <v>174</v>
      </c>
      <c r="G80" s="14" t="s">
        <v>123</v>
      </c>
      <c r="H80" s="14" t="s">
        <v>66</v>
      </c>
      <c r="I80" s="14" t="str">
        <f aca="false">IFERROR(INDEX(Calculations!$B$6:$B$27,MATCH(H80,Calculations!$A$6:$A$27,0)),"Unknown")</f>
        <v>Computer Peripherals</v>
      </c>
      <c r="J80" s="14" t="n">
        <v>1</v>
      </c>
      <c r="K80" s="16" t="n">
        <v>13231.67</v>
      </c>
      <c r="L80" s="17" t="n">
        <v>0.1</v>
      </c>
      <c r="M80" s="18" t="n">
        <f aca="false">J80*K80*(1-L80)</f>
        <v>11908.503</v>
      </c>
      <c r="N80" s="18" t="n">
        <f aca="false">J80*IFERROR(INDEX(Calculations!$C$6:$C$27,MATCH(H80,Calculations!$A$6:$A$27,0)),0)</f>
        <v>7200</v>
      </c>
      <c r="O80" s="18" t="n">
        <f aca="false">M80-N80</f>
        <v>4708.503</v>
      </c>
      <c r="P80" s="18" t="n">
        <f aca="false">M80*IFERROR(INDEX(Calculations!$F$6:$F$11,MATCH(I80,Calculations!$E$6:$E$11,0)),0.1)</f>
        <v>952.68024</v>
      </c>
      <c r="Q80" s="18" t="n">
        <f aca="false">O80-P80</f>
        <v>3755.82276</v>
      </c>
      <c r="R80" s="14" t="s">
        <v>243</v>
      </c>
      <c r="S80" s="14" t="s">
        <v>205</v>
      </c>
    </row>
    <row r="81" customFormat="false" ht="15" hidden="false" customHeight="false" outlineLevel="0" collapsed="false">
      <c r="A81" s="14" t="s">
        <v>357</v>
      </c>
      <c r="B81" s="15" t="n">
        <v>45919</v>
      </c>
      <c r="C81" s="14" t="s">
        <v>358</v>
      </c>
      <c r="D81" s="14" t="s">
        <v>359</v>
      </c>
      <c r="E81" s="14" t="s">
        <v>139</v>
      </c>
      <c r="F81" s="14" t="s">
        <v>152</v>
      </c>
      <c r="G81" s="14" t="s">
        <v>170</v>
      </c>
      <c r="H81" s="14" t="s">
        <v>73</v>
      </c>
      <c r="I81" s="14" t="str">
        <f aca="false">IFERROR(INDEX(Calculations!$B$6:$B$27,MATCH(H81,Calculations!$A$6:$A$27,0)),"Unknown")</f>
        <v>Wearables</v>
      </c>
      <c r="J81" s="14" t="n">
        <v>1</v>
      </c>
      <c r="K81" s="16" t="n">
        <v>2071.9</v>
      </c>
      <c r="L81" s="17" t="n">
        <v>0</v>
      </c>
      <c r="M81" s="18" t="n">
        <f aca="false">J81*K81*(1-L81)</f>
        <v>2071.9</v>
      </c>
      <c r="N81" s="18" t="n">
        <f aca="false">J81*IFERROR(INDEX(Calculations!$C$6:$C$27,MATCH(H81,Calculations!$A$6:$A$27,0)),0)</f>
        <v>1100</v>
      </c>
      <c r="O81" s="18" t="n">
        <f aca="false">M81-N81</f>
        <v>971.9</v>
      </c>
      <c r="P81" s="18" t="n">
        <f aca="false">M81*IFERROR(INDEX(Calculations!$F$6:$F$11,MATCH(I81,Calculations!$E$6:$E$11,0)),0.1)</f>
        <v>186.471</v>
      </c>
      <c r="Q81" s="18" t="n">
        <f aca="false">O81-P81</f>
        <v>785.429</v>
      </c>
      <c r="R81" s="14" t="s">
        <v>130</v>
      </c>
      <c r="S81" s="14" t="s">
        <v>210</v>
      </c>
    </row>
    <row r="82" customFormat="false" ht="15" hidden="false" customHeight="false" outlineLevel="0" collapsed="false">
      <c r="A82" s="14" t="s">
        <v>360</v>
      </c>
      <c r="B82" s="15" t="n">
        <v>45920</v>
      </c>
      <c r="C82" s="14" t="s">
        <v>304</v>
      </c>
      <c r="D82" s="14" t="s">
        <v>305</v>
      </c>
      <c r="E82" s="14" t="s">
        <v>156</v>
      </c>
      <c r="F82" s="14" t="s">
        <v>157</v>
      </c>
      <c r="G82" s="14" t="s">
        <v>209</v>
      </c>
      <c r="H82" s="14" t="s">
        <v>69</v>
      </c>
      <c r="I82" s="14" t="str">
        <f aca="false">IFERROR(INDEX(Calculations!$B$6:$B$27,MATCH(H82,Calculations!$A$6:$A$27,0)),"Unknown")</f>
        <v>Smart Home</v>
      </c>
      <c r="J82" s="14" t="n">
        <v>2</v>
      </c>
      <c r="K82" s="16" t="n">
        <v>811.4</v>
      </c>
      <c r="L82" s="17" t="n">
        <v>0.15</v>
      </c>
      <c r="M82" s="18" t="n">
        <f aca="false">J82*K82*(1-L82)</f>
        <v>1379.38</v>
      </c>
      <c r="N82" s="18" t="n">
        <f aca="false">J82*IFERROR(INDEX(Calculations!$C$6:$C$27,MATCH(H82,Calculations!$A$6:$A$27,0)),0)</f>
        <v>700</v>
      </c>
      <c r="O82" s="18" t="n">
        <f aca="false">M82-N82</f>
        <v>679.38</v>
      </c>
      <c r="P82" s="18" t="n">
        <f aca="false">M82*IFERROR(INDEX(Calculations!$F$6:$F$11,MATCH(I82,Calculations!$E$6:$E$11,0)),0.1)</f>
        <v>151.7318</v>
      </c>
      <c r="Q82" s="18" t="n">
        <f aca="false">O82-P82</f>
        <v>527.6482</v>
      </c>
      <c r="R82" s="14" t="s">
        <v>130</v>
      </c>
      <c r="S82" s="14" t="s">
        <v>210</v>
      </c>
    </row>
    <row r="83" customFormat="false" ht="15" hidden="false" customHeight="false" outlineLevel="0" collapsed="false">
      <c r="A83" s="14" t="s">
        <v>361</v>
      </c>
      <c r="B83" s="15" t="n">
        <v>45923</v>
      </c>
      <c r="C83" s="14" t="s">
        <v>362</v>
      </c>
      <c r="D83" s="14" t="s">
        <v>363</v>
      </c>
      <c r="E83" s="14" t="s">
        <v>194</v>
      </c>
      <c r="F83" s="14" t="s">
        <v>259</v>
      </c>
      <c r="G83" s="14" t="s">
        <v>209</v>
      </c>
      <c r="H83" s="14" t="s">
        <v>69</v>
      </c>
      <c r="I83" s="14" t="str">
        <f aca="false">IFERROR(INDEX(Calculations!$B$6:$B$27,MATCH(H83,Calculations!$A$6:$A$27,0)),"Unknown")</f>
        <v>Smart Home</v>
      </c>
      <c r="J83" s="14" t="n">
        <v>1</v>
      </c>
      <c r="K83" s="16" t="n">
        <v>817.2</v>
      </c>
      <c r="L83" s="17" t="n">
        <v>0.05</v>
      </c>
      <c r="M83" s="18" t="n">
        <f aca="false">J83*K83*(1-L83)</f>
        <v>776.34</v>
      </c>
      <c r="N83" s="18" t="n">
        <f aca="false">J83*IFERROR(INDEX(Calculations!$C$6:$C$27,MATCH(H83,Calculations!$A$6:$A$27,0)),0)</f>
        <v>350</v>
      </c>
      <c r="O83" s="18" t="n">
        <f aca="false">M83-N83</f>
        <v>426.34</v>
      </c>
      <c r="P83" s="18" t="n">
        <f aca="false">M83*IFERROR(INDEX(Calculations!$F$6:$F$11,MATCH(I83,Calculations!$E$6:$E$11,0)),0.1)</f>
        <v>85.3974</v>
      </c>
      <c r="Q83" s="18" t="n">
        <f aca="false">O83-P83</f>
        <v>340.9426</v>
      </c>
      <c r="R83" s="14" t="s">
        <v>135</v>
      </c>
      <c r="S83" s="14" t="s">
        <v>125</v>
      </c>
    </row>
    <row r="84" customFormat="false" ht="15" hidden="false" customHeight="false" outlineLevel="0" collapsed="false">
      <c r="A84" s="14" t="s">
        <v>364</v>
      </c>
      <c r="B84" s="15" t="n">
        <v>45924</v>
      </c>
      <c r="C84" s="14" t="s">
        <v>365</v>
      </c>
      <c r="D84" s="14" t="s">
        <v>366</v>
      </c>
      <c r="E84" s="14" t="s">
        <v>145</v>
      </c>
      <c r="F84" s="14" t="s">
        <v>146</v>
      </c>
      <c r="G84" s="14" t="s">
        <v>161</v>
      </c>
      <c r="H84" s="14" t="s">
        <v>69</v>
      </c>
      <c r="I84" s="14" t="str">
        <f aca="false">IFERROR(INDEX(Calculations!$B$6:$B$27,MATCH(H84,Calculations!$A$6:$A$27,0)),"Unknown")</f>
        <v>Smart Home</v>
      </c>
      <c r="J84" s="14" t="n">
        <v>2</v>
      </c>
      <c r="K84" s="16" t="n">
        <v>779.03</v>
      </c>
      <c r="L84" s="17" t="n">
        <v>0.2</v>
      </c>
      <c r="M84" s="18" t="n">
        <f aca="false">J84*K84*(1-L84)</f>
        <v>1246.448</v>
      </c>
      <c r="N84" s="18" t="n">
        <f aca="false">J84*IFERROR(INDEX(Calculations!$C$6:$C$27,MATCH(H84,Calculations!$A$6:$A$27,0)),0)</f>
        <v>700</v>
      </c>
      <c r="O84" s="18" t="n">
        <f aca="false">M84-N84</f>
        <v>546.448</v>
      </c>
      <c r="P84" s="18" t="n">
        <f aca="false">M84*IFERROR(INDEX(Calculations!$F$6:$F$11,MATCH(I84,Calculations!$E$6:$E$11,0)),0.1)</f>
        <v>137.10928</v>
      </c>
      <c r="Q84" s="18" t="n">
        <f aca="false">O84-P84</f>
        <v>409.33872</v>
      </c>
      <c r="R84" s="14" t="s">
        <v>124</v>
      </c>
      <c r="S84" s="14" t="s">
        <v>125</v>
      </c>
    </row>
    <row r="85" customFormat="false" ht="15" hidden="false" customHeight="false" outlineLevel="0" collapsed="false">
      <c r="A85" s="14" t="s">
        <v>367</v>
      </c>
      <c r="B85" s="15" t="n">
        <v>45925</v>
      </c>
      <c r="C85" s="14" t="s">
        <v>368</v>
      </c>
      <c r="D85" s="14" t="s">
        <v>369</v>
      </c>
      <c r="E85" s="14" t="s">
        <v>121</v>
      </c>
      <c r="F85" s="14" t="s">
        <v>129</v>
      </c>
      <c r="G85" s="14" t="s">
        <v>175</v>
      </c>
      <c r="H85" s="14" t="s">
        <v>77</v>
      </c>
      <c r="I85" s="14" t="str">
        <f aca="false">IFERROR(INDEX(Calculations!$B$6:$B$27,MATCH(H85,Calculations!$A$6:$A$27,0)),"Unknown")</f>
        <v>Cameras</v>
      </c>
      <c r="J85" s="14" t="n">
        <v>1</v>
      </c>
      <c r="K85" s="16" t="n">
        <v>5329.98</v>
      </c>
      <c r="L85" s="17" t="n">
        <v>0.05</v>
      </c>
      <c r="M85" s="18" t="n">
        <f aca="false">J85*K85*(1-L85)</f>
        <v>5063.481</v>
      </c>
      <c r="N85" s="18" t="n">
        <f aca="false">J85*IFERROR(INDEX(Calculations!$C$6:$C$27,MATCH(H85,Calculations!$A$6:$A$27,0)),0)</f>
        <v>3100</v>
      </c>
      <c r="O85" s="18" t="n">
        <f aca="false">M85-N85</f>
        <v>1963.481</v>
      </c>
      <c r="P85" s="18" t="n">
        <f aca="false">M85*IFERROR(INDEX(Calculations!$F$6:$F$11,MATCH(I85,Calculations!$E$6:$E$11,0)),0.1)</f>
        <v>379.761075</v>
      </c>
      <c r="Q85" s="18" t="n">
        <f aca="false">O85-P85</f>
        <v>1583.719925</v>
      </c>
      <c r="R85" s="14" t="s">
        <v>130</v>
      </c>
      <c r="S85" s="14" t="s">
        <v>125</v>
      </c>
    </row>
    <row r="86" customFormat="false" ht="15" hidden="false" customHeight="false" outlineLevel="0" collapsed="false">
      <c r="A86" s="14" t="s">
        <v>370</v>
      </c>
      <c r="B86" s="15" t="n">
        <v>45927</v>
      </c>
      <c r="C86" s="14" t="s">
        <v>371</v>
      </c>
      <c r="D86" s="14" t="s">
        <v>372</v>
      </c>
      <c r="E86" s="14" t="s">
        <v>121</v>
      </c>
      <c r="F86" s="14" t="s">
        <v>129</v>
      </c>
      <c r="G86" s="14" t="s">
        <v>147</v>
      </c>
      <c r="H86" s="14" t="s">
        <v>68</v>
      </c>
      <c r="I86" s="14" t="str">
        <f aca="false">IFERROR(INDEX(Calculations!$B$6:$B$27,MATCH(H86,Calculations!$A$6:$A$27,0)),"Unknown")</f>
        <v>Computer Peripherals</v>
      </c>
      <c r="J86" s="14" t="n">
        <v>2</v>
      </c>
      <c r="K86" s="16" t="n">
        <v>1006.51</v>
      </c>
      <c r="L86" s="17" t="n">
        <v>0.05</v>
      </c>
      <c r="M86" s="18" t="n">
        <f aca="false">J86*K86*(1-L86)</f>
        <v>1912.369</v>
      </c>
      <c r="N86" s="18" t="n">
        <f aca="false">J86*IFERROR(INDEX(Calculations!$C$6:$C$27,MATCH(H86,Calculations!$A$6:$A$27,0)),0)</f>
        <v>1000</v>
      </c>
      <c r="O86" s="18" t="n">
        <f aca="false">M86-N86</f>
        <v>912.369</v>
      </c>
      <c r="P86" s="18" t="n">
        <f aca="false">M86*IFERROR(INDEX(Calculations!$F$6:$F$11,MATCH(I86,Calculations!$E$6:$E$11,0)),0.1)</f>
        <v>152.98952</v>
      </c>
      <c r="Q86" s="18" t="n">
        <f aca="false">O86-P86</f>
        <v>759.37948</v>
      </c>
      <c r="R86" s="14" t="s">
        <v>243</v>
      </c>
      <c r="S86" s="14" t="s">
        <v>148</v>
      </c>
    </row>
    <row r="87" customFormat="false" ht="15" hidden="false" customHeight="false" outlineLevel="0" collapsed="false">
      <c r="A87" s="14" t="s">
        <v>373</v>
      </c>
      <c r="B87" s="15" t="n">
        <v>45927</v>
      </c>
      <c r="C87" s="14" t="s">
        <v>374</v>
      </c>
      <c r="D87" s="14" t="s">
        <v>375</v>
      </c>
      <c r="E87" s="14" t="s">
        <v>194</v>
      </c>
      <c r="F87" s="14" t="s">
        <v>259</v>
      </c>
      <c r="G87" s="14" t="s">
        <v>175</v>
      </c>
      <c r="H87" s="14" t="s">
        <v>54</v>
      </c>
      <c r="I87" s="14" t="str">
        <f aca="false">IFERROR(INDEX(Calculations!$B$6:$B$27,MATCH(H87,Calculations!$A$6:$A$27,0)),"Unknown")</f>
        <v>Audio</v>
      </c>
      <c r="J87" s="14" t="n">
        <v>1</v>
      </c>
      <c r="K87" s="16" t="n">
        <v>2826.09</v>
      </c>
      <c r="L87" s="17" t="n">
        <v>0</v>
      </c>
      <c r="M87" s="18" t="n">
        <f aca="false">J87*K87*(1-L87)</f>
        <v>2826.09</v>
      </c>
      <c r="N87" s="18" t="n">
        <f aca="false">J87*IFERROR(INDEX(Calculations!$C$6:$C$27,MATCH(H87,Calculations!$A$6:$A$27,0)),0)</f>
        <v>1400</v>
      </c>
      <c r="O87" s="18" t="n">
        <f aca="false">M87-N87</f>
        <v>1426.09</v>
      </c>
      <c r="P87" s="18" t="n">
        <f aca="false">M87*IFERROR(INDEX(Calculations!$F$6:$F$11,MATCH(I87,Calculations!$E$6:$E$11,0)),0.1)</f>
        <v>282.609</v>
      </c>
      <c r="Q87" s="18" t="n">
        <f aca="false">O87-P87</f>
        <v>1143.481</v>
      </c>
      <c r="R87" s="14" t="s">
        <v>165</v>
      </c>
      <c r="S87" s="14" t="s">
        <v>125</v>
      </c>
    </row>
    <row r="88" customFormat="false" ht="15" hidden="false" customHeight="false" outlineLevel="0" collapsed="false">
      <c r="A88" s="14" t="s">
        <v>376</v>
      </c>
      <c r="B88" s="15" t="n">
        <v>45927</v>
      </c>
      <c r="C88" s="14" t="s">
        <v>326</v>
      </c>
      <c r="D88" s="14" t="s">
        <v>327</v>
      </c>
      <c r="E88" s="14" t="s">
        <v>194</v>
      </c>
      <c r="F88" s="14" t="s">
        <v>195</v>
      </c>
      <c r="G88" s="14" t="s">
        <v>141</v>
      </c>
      <c r="H88" s="14" t="s">
        <v>60</v>
      </c>
      <c r="I88" s="14" t="str">
        <f aca="false">IFERROR(INDEX(Calculations!$B$6:$B$27,MATCH(H88,Calculations!$A$6:$A$27,0)),"Unknown")</f>
        <v>Mobile Accessories</v>
      </c>
      <c r="J88" s="14" t="n">
        <v>3</v>
      </c>
      <c r="K88" s="16" t="n">
        <v>254.53</v>
      </c>
      <c r="L88" s="17" t="n">
        <v>0.15</v>
      </c>
      <c r="M88" s="18" t="n">
        <f aca="false">J88*K88*(1-L88)</f>
        <v>649.0515</v>
      </c>
      <c r="N88" s="18" t="n">
        <f aca="false">J88*IFERROR(INDEX(Calculations!$C$6:$C$27,MATCH(H88,Calculations!$A$6:$A$27,0)),0)</f>
        <v>270</v>
      </c>
      <c r="O88" s="18" t="n">
        <f aca="false">M88-N88</f>
        <v>379.0515</v>
      </c>
      <c r="P88" s="18" t="n">
        <f aca="false">M88*IFERROR(INDEX(Calculations!$F$6:$F$11,MATCH(I88,Calculations!$E$6:$E$11,0)),0.1)</f>
        <v>77.88618</v>
      </c>
      <c r="Q88" s="18" t="n">
        <f aca="false">O88-P88</f>
        <v>301.16532</v>
      </c>
      <c r="R88" s="14" t="s">
        <v>124</v>
      </c>
      <c r="S88" s="14" t="s">
        <v>125</v>
      </c>
    </row>
    <row r="89" customFormat="false" ht="15" hidden="false" customHeight="false" outlineLevel="0" collapsed="false">
      <c r="A89" s="14" t="s">
        <v>377</v>
      </c>
      <c r="B89" s="15" t="n">
        <v>45928</v>
      </c>
      <c r="C89" s="14" t="s">
        <v>378</v>
      </c>
      <c r="D89" s="14" t="s">
        <v>379</v>
      </c>
      <c r="E89" s="14" t="s">
        <v>145</v>
      </c>
      <c r="F89" s="14" t="s">
        <v>146</v>
      </c>
      <c r="G89" s="14" t="s">
        <v>123</v>
      </c>
      <c r="H89" s="14" t="s">
        <v>65</v>
      </c>
      <c r="I89" s="14" t="str">
        <f aca="false">IFERROR(INDEX(Calculations!$B$6:$B$27,MATCH(H89,Calculations!$A$6:$A$27,0)),"Unknown")</f>
        <v>Computer Peripherals</v>
      </c>
      <c r="J89" s="14" t="n">
        <v>1</v>
      </c>
      <c r="K89" s="16" t="n">
        <v>3154.15</v>
      </c>
      <c r="L89" s="17" t="n">
        <v>0.15</v>
      </c>
      <c r="M89" s="18" t="n">
        <f aca="false">J89*K89*(1-L89)</f>
        <v>2681.0275</v>
      </c>
      <c r="N89" s="18" t="n">
        <f aca="false">J89*IFERROR(INDEX(Calculations!$C$6:$C$27,MATCH(H89,Calculations!$A$6:$A$27,0)),0)</f>
        <v>1600</v>
      </c>
      <c r="O89" s="18" t="n">
        <f aca="false">M89-N89</f>
        <v>1081.0275</v>
      </c>
      <c r="P89" s="18" t="n">
        <f aca="false">M89*IFERROR(INDEX(Calculations!$F$6:$F$11,MATCH(I89,Calculations!$E$6:$E$11,0)),0.1)</f>
        <v>214.4822</v>
      </c>
      <c r="Q89" s="18" t="n">
        <f aca="false">O89-P89</f>
        <v>866.5453</v>
      </c>
      <c r="R89" s="14" t="s">
        <v>135</v>
      </c>
      <c r="S89" s="14" t="s">
        <v>210</v>
      </c>
    </row>
    <row r="90" customFormat="false" ht="15" hidden="false" customHeight="false" outlineLevel="0" collapsed="false">
      <c r="A90" s="14" t="s">
        <v>380</v>
      </c>
      <c r="B90" s="15" t="n">
        <v>45928</v>
      </c>
      <c r="C90" s="14" t="s">
        <v>381</v>
      </c>
      <c r="D90" s="14" t="s">
        <v>382</v>
      </c>
      <c r="E90" s="14" t="s">
        <v>156</v>
      </c>
      <c r="F90" s="14" t="s">
        <v>157</v>
      </c>
      <c r="G90" s="14" t="s">
        <v>161</v>
      </c>
      <c r="H90" s="14" t="s">
        <v>74</v>
      </c>
      <c r="I90" s="14" t="str">
        <f aca="false">IFERROR(INDEX(Calculations!$B$6:$B$27,MATCH(H90,Calculations!$A$6:$A$27,0)),"Unknown")</f>
        <v>Wearables</v>
      </c>
      <c r="J90" s="14" t="n">
        <v>3</v>
      </c>
      <c r="K90" s="16" t="n">
        <v>6667.08</v>
      </c>
      <c r="L90" s="17" t="n">
        <v>0.05</v>
      </c>
      <c r="M90" s="18" t="n">
        <f aca="false">J90*K90*(1-L90)</f>
        <v>19001.178</v>
      </c>
      <c r="N90" s="18" t="n">
        <f aca="false">J90*IFERROR(INDEX(Calculations!$C$6:$C$27,MATCH(H90,Calculations!$A$6:$A$27,0)),0)</f>
        <v>11400</v>
      </c>
      <c r="O90" s="18" t="n">
        <f aca="false">M90-N90</f>
        <v>7601.178</v>
      </c>
      <c r="P90" s="18" t="n">
        <f aca="false">M90*IFERROR(INDEX(Calculations!$F$6:$F$11,MATCH(I90,Calculations!$E$6:$E$11,0)),0.1)</f>
        <v>1710.10602</v>
      </c>
      <c r="Q90" s="18" t="n">
        <f aca="false">O90-P90</f>
        <v>5891.07198</v>
      </c>
      <c r="R90" s="14" t="s">
        <v>165</v>
      </c>
      <c r="S90" s="14" t="s">
        <v>125</v>
      </c>
    </row>
    <row r="91" customFormat="false" ht="15" hidden="false" customHeight="false" outlineLevel="0" collapsed="false">
      <c r="A91" s="14" t="s">
        <v>383</v>
      </c>
      <c r="B91" s="15" t="n">
        <v>45928</v>
      </c>
      <c r="C91" s="14" t="s">
        <v>378</v>
      </c>
      <c r="D91" s="14" t="s">
        <v>379</v>
      </c>
      <c r="E91" s="14" t="s">
        <v>145</v>
      </c>
      <c r="F91" s="14" t="s">
        <v>146</v>
      </c>
      <c r="G91" s="14" t="s">
        <v>170</v>
      </c>
      <c r="H91" s="14" t="s">
        <v>66</v>
      </c>
      <c r="I91" s="14" t="str">
        <f aca="false">IFERROR(INDEX(Calculations!$B$6:$B$27,MATCH(H91,Calculations!$A$6:$A$27,0)),"Unknown")</f>
        <v>Computer Peripherals</v>
      </c>
      <c r="J91" s="14" t="n">
        <v>3</v>
      </c>
      <c r="K91" s="16" t="n">
        <v>12977.18</v>
      </c>
      <c r="L91" s="17" t="n">
        <v>0.1</v>
      </c>
      <c r="M91" s="18" t="n">
        <f aca="false">J91*K91*(1-L91)</f>
        <v>35038.386</v>
      </c>
      <c r="N91" s="18" t="n">
        <f aca="false">J91*IFERROR(INDEX(Calculations!$C$6:$C$27,MATCH(H91,Calculations!$A$6:$A$27,0)),0)</f>
        <v>21600</v>
      </c>
      <c r="O91" s="18" t="n">
        <f aca="false">M91-N91</f>
        <v>13438.386</v>
      </c>
      <c r="P91" s="18" t="n">
        <f aca="false">M91*IFERROR(INDEX(Calculations!$F$6:$F$11,MATCH(I91,Calculations!$E$6:$E$11,0)),0.1)</f>
        <v>2803.07088</v>
      </c>
      <c r="Q91" s="18" t="n">
        <f aca="false">O91-P91</f>
        <v>10635.31512</v>
      </c>
      <c r="R91" s="14" t="s">
        <v>135</v>
      </c>
      <c r="S91" s="14" t="s">
        <v>125</v>
      </c>
    </row>
    <row r="92" customFormat="false" ht="15" hidden="false" customHeight="false" outlineLevel="0" collapsed="false">
      <c r="A92" s="14" t="s">
        <v>384</v>
      </c>
      <c r="B92" s="15" t="n">
        <v>45930</v>
      </c>
      <c r="C92" s="14" t="s">
        <v>127</v>
      </c>
      <c r="D92" s="14" t="s">
        <v>128</v>
      </c>
      <c r="E92" s="14" t="s">
        <v>121</v>
      </c>
      <c r="F92" s="14" t="s">
        <v>129</v>
      </c>
      <c r="G92" s="14" t="s">
        <v>175</v>
      </c>
      <c r="H92" s="14" t="s">
        <v>64</v>
      </c>
      <c r="I92" s="14" t="str">
        <f aca="false">IFERROR(INDEX(Calculations!$B$6:$B$27,MATCH(H92,Calculations!$A$6:$A$27,0)),"Unknown")</f>
        <v>Computer Peripherals</v>
      </c>
      <c r="J92" s="14" t="n">
        <v>1</v>
      </c>
      <c r="K92" s="16" t="n">
        <v>794.48</v>
      </c>
      <c r="L92" s="17" t="n">
        <v>0.05</v>
      </c>
      <c r="M92" s="18" t="n">
        <f aca="false">J92*K92*(1-L92)</f>
        <v>754.756</v>
      </c>
      <c r="N92" s="18" t="n">
        <f aca="false">J92*IFERROR(INDEX(Calculations!$C$6:$C$27,MATCH(H92,Calculations!$A$6:$A$27,0)),0)</f>
        <v>350</v>
      </c>
      <c r="O92" s="18" t="n">
        <f aca="false">M92-N92</f>
        <v>404.756</v>
      </c>
      <c r="P92" s="18" t="n">
        <f aca="false">M92*IFERROR(INDEX(Calculations!$F$6:$F$11,MATCH(I92,Calculations!$E$6:$E$11,0)),0.1)</f>
        <v>60.38048</v>
      </c>
      <c r="Q92" s="18" t="n">
        <f aca="false">O92-P92</f>
        <v>344.37552</v>
      </c>
      <c r="R92" s="14" t="s">
        <v>130</v>
      </c>
      <c r="S92" s="14" t="s">
        <v>148</v>
      </c>
    </row>
    <row r="93" customFormat="false" ht="15" hidden="false" customHeight="false" outlineLevel="0" collapsed="false">
      <c r="A93" s="14" t="s">
        <v>385</v>
      </c>
      <c r="B93" s="15" t="n">
        <v>45931</v>
      </c>
      <c r="C93" s="14" t="s">
        <v>386</v>
      </c>
      <c r="D93" s="14" t="s">
        <v>387</v>
      </c>
      <c r="E93" s="14" t="s">
        <v>145</v>
      </c>
      <c r="F93" s="14" t="s">
        <v>146</v>
      </c>
      <c r="G93" s="14" t="s">
        <v>170</v>
      </c>
      <c r="H93" s="14" t="s">
        <v>70</v>
      </c>
      <c r="I93" s="14" t="str">
        <f aca="false">IFERROR(INDEX(Calculations!$B$6:$B$27,MATCH(H93,Calculations!$A$6:$A$27,0)),"Unknown")</f>
        <v>Smart Home</v>
      </c>
      <c r="J93" s="14" t="n">
        <v>1</v>
      </c>
      <c r="K93" s="16" t="n">
        <v>3841.73</v>
      </c>
      <c r="L93" s="17" t="n">
        <v>0.1</v>
      </c>
      <c r="M93" s="18" t="n">
        <f aca="false">J93*K93*(1-L93)</f>
        <v>3457.557</v>
      </c>
      <c r="N93" s="18" t="n">
        <f aca="false">J93*IFERROR(INDEX(Calculations!$C$6:$C$27,MATCH(H93,Calculations!$A$6:$A$27,0)),0)</f>
        <v>2200</v>
      </c>
      <c r="O93" s="18" t="n">
        <f aca="false">M93-N93</f>
        <v>1257.557</v>
      </c>
      <c r="P93" s="18" t="n">
        <f aca="false">M93*IFERROR(INDEX(Calculations!$F$6:$F$11,MATCH(I93,Calculations!$E$6:$E$11,0)),0.1)</f>
        <v>380.33127</v>
      </c>
      <c r="Q93" s="18" t="n">
        <f aca="false">O93-P93</f>
        <v>877.22573</v>
      </c>
      <c r="R93" s="14" t="s">
        <v>124</v>
      </c>
      <c r="S93" s="14" t="s">
        <v>125</v>
      </c>
    </row>
    <row r="94" customFormat="false" ht="15" hidden="false" customHeight="false" outlineLevel="0" collapsed="false">
      <c r="A94" s="14" t="s">
        <v>388</v>
      </c>
      <c r="B94" s="15" t="n">
        <v>45932</v>
      </c>
      <c r="C94" s="14" t="s">
        <v>389</v>
      </c>
      <c r="D94" s="14" t="s">
        <v>390</v>
      </c>
      <c r="E94" s="14" t="s">
        <v>145</v>
      </c>
      <c r="F94" s="14" t="s">
        <v>174</v>
      </c>
      <c r="G94" s="14" t="s">
        <v>175</v>
      </c>
      <c r="H94" s="14" t="s">
        <v>58</v>
      </c>
      <c r="I94" s="14" t="str">
        <f aca="false">IFERROR(INDEX(Calculations!$B$6:$B$27,MATCH(H94,Calculations!$A$6:$A$27,0)),"Unknown")</f>
        <v>Mobile Accessories</v>
      </c>
      <c r="J94" s="14" t="n">
        <v>1</v>
      </c>
      <c r="K94" s="16" t="n">
        <v>510.22</v>
      </c>
      <c r="L94" s="17" t="n">
        <v>0</v>
      </c>
      <c r="M94" s="18" t="n">
        <f aca="false">J94*K94*(1-L94)</f>
        <v>510.22</v>
      </c>
      <c r="N94" s="18" t="n">
        <f aca="false">J94*IFERROR(INDEX(Calculations!$C$6:$C$27,MATCH(H94,Calculations!$A$6:$A$27,0)),0)</f>
        <v>220</v>
      </c>
      <c r="O94" s="18" t="n">
        <f aca="false">M94-N94</f>
        <v>290.22</v>
      </c>
      <c r="P94" s="18" t="n">
        <f aca="false">M94*IFERROR(INDEX(Calculations!$F$6:$F$11,MATCH(I94,Calculations!$E$6:$E$11,0)),0.1)</f>
        <v>61.2264</v>
      </c>
      <c r="Q94" s="18" t="n">
        <f aca="false">O94-P94</f>
        <v>228.9936</v>
      </c>
      <c r="R94" s="14" t="s">
        <v>130</v>
      </c>
      <c r="S94" s="14" t="s">
        <v>125</v>
      </c>
    </row>
    <row r="95" customFormat="false" ht="15" hidden="false" customHeight="false" outlineLevel="0" collapsed="false">
      <c r="A95" s="14" t="s">
        <v>391</v>
      </c>
      <c r="B95" s="15" t="n">
        <v>45934</v>
      </c>
      <c r="C95" s="14" t="s">
        <v>392</v>
      </c>
      <c r="D95" s="14" t="s">
        <v>393</v>
      </c>
      <c r="E95" s="14" t="s">
        <v>194</v>
      </c>
      <c r="F95" s="14" t="s">
        <v>195</v>
      </c>
      <c r="G95" s="14" t="s">
        <v>175</v>
      </c>
      <c r="H95" s="14" t="s">
        <v>62</v>
      </c>
      <c r="I95" s="14" t="str">
        <f aca="false">IFERROR(INDEX(Calculations!$B$6:$B$27,MATCH(H95,Calculations!$A$6:$A$27,0)),"Unknown")</f>
        <v>Mobile Accessories</v>
      </c>
      <c r="J95" s="14" t="n">
        <v>2</v>
      </c>
      <c r="K95" s="16" t="n">
        <v>362.63</v>
      </c>
      <c r="L95" s="17" t="n">
        <v>0.05</v>
      </c>
      <c r="M95" s="18" t="n">
        <f aca="false">J95*K95*(1-L95)</f>
        <v>688.997</v>
      </c>
      <c r="N95" s="18" t="n">
        <f aca="false">J95*IFERROR(INDEX(Calculations!$C$6:$C$27,MATCH(H95,Calculations!$A$6:$A$27,0)),0)</f>
        <v>260</v>
      </c>
      <c r="O95" s="18" t="n">
        <f aca="false">M95-N95</f>
        <v>428.997</v>
      </c>
      <c r="P95" s="18" t="n">
        <f aca="false">M95*IFERROR(INDEX(Calculations!$F$6:$F$11,MATCH(I95,Calculations!$E$6:$E$11,0)),0.1)</f>
        <v>82.67964</v>
      </c>
      <c r="Q95" s="18" t="n">
        <f aca="false">O95-P95</f>
        <v>346.31736</v>
      </c>
      <c r="R95" s="14" t="s">
        <v>243</v>
      </c>
      <c r="S95" s="14" t="s">
        <v>125</v>
      </c>
    </row>
    <row r="96" customFormat="false" ht="15" hidden="false" customHeight="false" outlineLevel="0" collapsed="false">
      <c r="A96" s="14" t="s">
        <v>394</v>
      </c>
      <c r="B96" s="15" t="n">
        <v>45935</v>
      </c>
      <c r="C96" s="14" t="s">
        <v>395</v>
      </c>
      <c r="D96" s="14" t="s">
        <v>396</v>
      </c>
      <c r="E96" s="14" t="s">
        <v>139</v>
      </c>
      <c r="F96" s="14" t="s">
        <v>140</v>
      </c>
      <c r="G96" s="14" t="s">
        <v>209</v>
      </c>
      <c r="H96" s="14" t="s">
        <v>70</v>
      </c>
      <c r="I96" s="14" t="str">
        <f aca="false">IFERROR(INDEX(Calculations!$B$6:$B$27,MATCH(H96,Calculations!$A$6:$A$27,0)),"Unknown")</f>
        <v>Smart Home</v>
      </c>
      <c r="J96" s="14" t="n">
        <v>4</v>
      </c>
      <c r="K96" s="16" t="n">
        <v>4104.37</v>
      </c>
      <c r="L96" s="17" t="n">
        <v>0.05</v>
      </c>
      <c r="M96" s="18" t="n">
        <f aca="false">J96*K96*(1-L96)</f>
        <v>15596.606</v>
      </c>
      <c r="N96" s="18" t="n">
        <f aca="false">J96*IFERROR(INDEX(Calculations!$C$6:$C$27,MATCH(H96,Calculations!$A$6:$A$27,0)),0)</f>
        <v>8800</v>
      </c>
      <c r="O96" s="18" t="n">
        <f aca="false">M96-N96</f>
        <v>6796.606</v>
      </c>
      <c r="P96" s="18" t="n">
        <f aca="false">M96*IFERROR(INDEX(Calculations!$F$6:$F$11,MATCH(I96,Calculations!$E$6:$E$11,0)),0.1)</f>
        <v>1715.62666</v>
      </c>
      <c r="Q96" s="18" t="n">
        <f aca="false">O96-P96</f>
        <v>5080.97934</v>
      </c>
      <c r="R96" s="14" t="s">
        <v>130</v>
      </c>
      <c r="S96" s="14" t="s">
        <v>125</v>
      </c>
    </row>
    <row r="97" customFormat="false" ht="15" hidden="false" customHeight="false" outlineLevel="0" collapsed="false">
      <c r="A97" s="14" t="s">
        <v>397</v>
      </c>
      <c r="B97" s="15" t="n">
        <v>45935</v>
      </c>
      <c r="C97" s="14" t="s">
        <v>398</v>
      </c>
      <c r="D97" s="14" t="s">
        <v>399</v>
      </c>
      <c r="E97" s="14" t="s">
        <v>139</v>
      </c>
      <c r="F97" s="14" t="s">
        <v>152</v>
      </c>
      <c r="G97" s="14" t="s">
        <v>134</v>
      </c>
      <c r="H97" s="14" t="s">
        <v>52</v>
      </c>
      <c r="I97" s="14" t="str">
        <f aca="false">IFERROR(INDEX(Calculations!$B$6:$B$27,MATCH(H97,Calculations!$A$6:$A$27,0)),"Unknown")</f>
        <v>Audio</v>
      </c>
      <c r="J97" s="14" t="n">
        <v>1</v>
      </c>
      <c r="K97" s="16" t="n">
        <v>1900.92</v>
      </c>
      <c r="L97" s="17" t="n">
        <v>0.15</v>
      </c>
      <c r="M97" s="18" t="n">
        <f aca="false">J97*K97*(1-L97)</f>
        <v>1615.782</v>
      </c>
      <c r="N97" s="18" t="n">
        <f aca="false">J97*IFERROR(INDEX(Calculations!$C$6:$C$27,MATCH(H97,Calculations!$A$6:$A$27,0)),0)</f>
        <v>900</v>
      </c>
      <c r="O97" s="18" t="n">
        <f aca="false">M97-N97</f>
        <v>715.782</v>
      </c>
      <c r="P97" s="18" t="n">
        <f aca="false">M97*IFERROR(INDEX(Calculations!$F$6:$F$11,MATCH(I97,Calculations!$E$6:$E$11,0)),0.1)</f>
        <v>161.5782</v>
      </c>
      <c r="Q97" s="18" t="n">
        <f aca="false">O97-P97</f>
        <v>554.2038</v>
      </c>
      <c r="R97" s="14" t="s">
        <v>130</v>
      </c>
      <c r="S97" s="14" t="s">
        <v>125</v>
      </c>
    </row>
    <row r="98" customFormat="false" ht="15" hidden="false" customHeight="false" outlineLevel="0" collapsed="false">
      <c r="A98" s="14" t="s">
        <v>400</v>
      </c>
      <c r="B98" s="15" t="n">
        <v>45936</v>
      </c>
      <c r="C98" s="14" t="s">
        <v>401</v>
      </c>
      <c r="D98" s="14" t="s">
        <v>402</v>
      </c>
      <c r="E98" s="14" t="s">
        <v>145</v>
      </c>
      <c r="F98" s="14" t="s">
        <v>174</v>
      </c>
      <c r="G98" s="14" t="s">
        <v>161</v>
      </c>
      <c r="H98" s="14" t="s">
        <v>58</v>
      </c>
      <c r="I98" s="14" t="str">
        <f aca="false">IFERROR(INDEX(Calculations!$B$6:$B$27,MATCH(H98,Calculations!$A$6:$A$27,0)),"Unknown")</f>
        <v>Mobile Accessories</v>
      </c>
      <c r="J98" s="14" t="n">
        <v>3</v>
      </c>
      <c r="K98" s="16" t="n">
        <v>483.43</v>
      </c>
      <c r="L98" s="17" t="n">
        <v>0.15</v>
      </c>
      <c r="M98" s="18" t="n">
        <f aca="false">J98*K98*(1-L98)</f>
        <v>1232.7465</v>
      </c>
      <c r="N98" s="18" t="n">
        <f aca="false">J98*IFERROR(INDEX(Calculations!$C$6:$C$27,MATCH(H98,Calculations!$A$6:$A$27,0)),0)</f>
        <v>660</v>
      </c>
      <c r="O98" s="18" t="n">
        <f aca="false">M98-N98</f>
        <v>572.7465</v>
      </c>
      <c r="P98" s="18" t="n">
        <f aca="false">M98*IFERROR(INDEX(Calculations!$F$6:$F$11,MATCH(I98,Calculations!$E$6:$E$11,0)),0.1)</f>
        <v>147.92958</v>
      </c>
      <c r="Q98" s="18" t="n">
        <f aca="false">O98-P98</f>
        <v>424.81692</v>
      </c>
      <c r="R98" s="14" t="s">
        <v>130</v>
      </c>
      <c r="S98" s="14" t="s">
        <v>125</v>
      </c>
    </row>
    <row r="99" customFormat="false" ht="15" hidden="false" customHeight="false" outlineLevel="0" collapsed="false">
      <c r="A99" s="14" t="s">
        <v>403</v>
      </c>
      <c r="B99" s="15" t="n">
        <v>45936</v>
      </c>
      <c r="C99" s="14" t="s">
        <v>404</v>
      </c>
      <c r="D99" s="14" t="s">
        <v>405</v>
      </c>
      <c r="E99" s="14" t="s">
        <v>156</v>
      </c>
      <c r="F99" s="14" t="s">
        <v>157</v>
      </c>
      <c r="G99" s="14" t="s">
        <v>134</v>
      </c>
      <c r="H99" s="14" t="s">
        <v>64</v>
      </c>
      <c r="I99" s="14" t="str">
        <f aca="false">IFERROR(INDEX(Calculations!$B$6:$B$27,MATCH(H99,Calculations!$A$6:$A$27,0)),"Unknown")</f>
        <v>Computer Peripherals</v>
      </c>
      <c r="J99" s="14" t="n">
        <v>2</v>
      </c>
      <c r="K99" s="16" t="n">
        <v>783.34</v>
      </c>
      <c r="L99" s="17" t="n">
        <v>0.05</v>
      </c>
      <c r="M99" s="18" t="n">
        <f aca="false">J99*K99*(1-L99)</f>
        <v>1488.346</v>
      </c>
      <c r="N99" s="18" t="n">
        <f aca="false">J99*IFERROR(INDEX(Calculations!$C$6:$C$27,MATCH(H99,Calculations!$A$6:$A$27,0)),0)</f>
        <v>700</v>
      </c>
      <c r="O99" s="18" t="n">
        <f aca="false">M99-N99</f>
        <v>788.346</v>
      </c>
      <c r="P99" s="18" t="n">
        <f aca="false">M99*IFERROR(INDEX(Calculations!$F$6:$F$11,MATCH(I99,Calculations!$E$6:$E$11,0)),0.1)</f>
        <v>119.06768</v>
      </c>
      <c r="Q99" s="18" t="n">
        <f aca="false">O99-P99</f>
        <v>669.27832</v>
      </c>
      <c r="R99" s="14" t="s">
        <v>135</v>
      </c>
      <c r="S99" s="14" t="s">
        <v>125</v>
      </c>
    </row>
    <row r="100" customFormat="false" ht="15" hidden="false" customHeight="false" outlineLevel="0" collapsed="false">
      <c r="A100" s="14" t="s">
        <v>406</v>
      </c>
      <c r="B100" s="15" t="n">
        <v>45937</v>
      </c>
      <c r="C100" s="14" t="s">
        <v>407</v>
      </c>
      <c r="D100" s="14" t="s">
        <v>408</v>
      </c>
      <c r="E100" s="14" t="s">
        <v>194</v>
      </c>
      <c r="F100" s="14" t="s">
        <v>195</v>
      </c>
      <c r="G100" s="14" t="s">
        <v>123</v>
      </c>
      <c r="H100" s="14" t="s">
        <v>70</v>
      </c>
      <c r="I100" s="14" t="str">
        <f aca="false">IFERROR(INDEX(Calculations!$B$6:$B$27,MATCH(H100,Calculations!$A$6:$A$27,0)),"Unknown")</f>
        <v>Smart Home</v>
      </c>
      <c r="J100" s="14" t="n">
        <v>2</v>
      </c>
      <c r="K100" s="16" t="n">
        <v>3857.51</v>
      </c>
      <c r="L100" s="17" t="n">
        <v>0.05</v>
      </c>
      <c r="M100" s="18" t="n">
        <f aca="false">J100*K100*(1-L100)</f>
        <v>7329.269</v>
      </c>
      <c r="N100" s="18" t="n">
        <f aca="false">J100*IFERROR(INDEX(Calculations!$C$6:$C$27,MATCH(H100,Calculations!$A$6:$A$27,0)),0)</f>
        <v>4400</v>
      </c>
      <c r="O100" s="18" t="n">
        <f aca="false">M100-N100</f>
        <v>2929.269</v>
      </c>
      <c r="P100" s="18" t="n">
        <f aca="false">M100*IFERROR(INDEX(Calculations!$F$6:$F$11,MATCH(I100,Calculations!$E$6:$E$11,0)),0.1)</f>
        <v>806.21959</v>
      </c>
      <c r="Q100" s="18" t="n">
        <f aca="false">O100-P100</f>
        <v>2123.04941</v>
      </c>
      <c r="R100" s="14" t="s">
        <v>165</v>
      </c>
      <c r="S100" s="14" t="s">
        <v>125</v>
      </c>
    </row>
    <row r="101" customFormat="false" ht="15" hidden="false" customHeight="false" outlineLevel="0" collapsed="false">
      <c r="A101" s="14" t="s">
        <v>409</v>
      </c>
      <c r="B101" s="15" t="n">
        <v>45937</v>
      </c>
      <c r="C101" s="14" t="s">
        <v>410</v>
      </c>
      <c r="D101" s="14" t="s">
        <v>411</v>
      </c>
      <c r="E101" s="14" t="s">
        <v>194</v>
      </c>
      <c r="F101" s="14" t="s">
        <v>195</v>
      </c>
      <c r="G101" s="14" t="s">
        <v>209</v>
      </c>
      <c r="H101" s="14" t="s">
        <v>68</v>
      </c>
      <c r="I101" s="14" t="str">
        <f aca="false">IFERROR(INDEX(Calculations!$B$6:$B$27,MATCH(H101,Calculations!$A$6:$A$27,0)),"Unknown")</f>
        <v>Computer Peripherals</v>
      </c>
      <c r="J101" s="14" t="n">
        <v>1</v>
      </c>
      <c r="K101" s="16" t="n">
        <v>1000.82</v>
      </c>
      <c r="L101" s="17" t="n">
        <v>0.15</v>
      </c>
      <c r="M101" s="18" t="n">
        <f aca="false">J101*K101*(1-L101)</f>
        <v>850.697</v>
      </c>
      <c r="N101" s="18" t="n">
        <f aca="false">J101*IFERROR(INDEX(Calculations!$C$6:$C$27,MATCH(H101,Calculations!$A$6:$A$27,0)),0)</f>
        <v>500</v>
      </c>
      <c r="O101" s="18" t="n">
        <f aca="false">M101-N101</f>
        <v>350.697</v>
      </c>
      <c r="P101" s="18" t="n">
        <f aca="false">M101*IFERROR(INDEX(Calculations!$F$6:$F$11,MATCH(I101,Calculations!$E$6:$E$11,0)),0.1)</f>
        <v>68.05576</v>
      </c>
      <c r="Q101" s="18" t="n">
        <f aca="false">O101-P101</f>
        <v>282.64124</v>
      </c>
      <c r="R101" s="14" t="s">
        <v>135</v>
      </c>
      <c r="S101" s="14" t="s">
        <v>210</v>
      </c>
    </row>
    <row r="102" customFormat="false" ht="15" hidden="false" customHeight="false" outlineLevel="0" collapsed="false">
      <c r="A102" s="14" t="s">
        <v>412</v>
      </c>
      <c r="B102" s="15" t="n">
        <v>45937</v>
      </c>
      <c r="C102" s="14" t="s">
        <v>413</v>
      </c>
      <c r="D102" s="14" t="s">
        <v>414</v>
      </c>
      <c r="E102" s="14" t="s">
        <v>121</v>
      </c>
      <c r="F102" s="14" t="s">
        <v>122</v>
      </c>
      <c r="G102" s="14" t="s">
        <v>147</v>
      </c>
      <c r="H102" s="14" t="s">
        <v>73</v>
      </c>
      <c r="I102" s="14" t="str">
        <f aca="false">IFERROR(INDEX(Calculations!$B$6:$B$27,MATCH(H102,Calculations!$A$6:$A$27,0)),"Unknown")</f>
        <v>Wearables</v>
      </c>
      <c r="J102" s="14" t="n">
        <v>3</v>
      </c>
      <c r="K102" s="16" t="n">
        <v>2011.96</v>
      </c>
      <c r="L102" s="17" t="n">
        <v>0.1</v>
      </c>
      <c r="M102" s="18" t="n">
        <f aca="false">J102*K102*(1-L102)</f>
        <v>5432.292</v>
      </c>
      <c r="N102" s="18" t="n">
        <f aca="false">J102*IFERROR(INDEX(Calculations!$C$6:$C$27,MATCH(H102,Calculations!$A$6:$A$27,0)),0)</f>
        <v>3300</v>
      </c>
      <c r="O102" s="18" t="n">
        <f aca="false">M102-N102</f>
        <v>2132.292</v>
      </c>
      <c r="P102" s="18" t="n">
        <f aca="false">M102*IFERROR(INDEX(Calculations!$F$6:$F$11,MATCH(I102,Calculations!$E$6:$E$11,0)),0.1)</f>
        <v>488.90628</v>
      </c>
      <c r="Q102" s="18" t="n">
        <f aca="false">O102-P102</f>
        <v>1643.38572</v>
      </c>
      <c r="R102" s="14" t="s">
        <v>130</v>
      </c>
      <c r="S102" s="14" t="s">
        <v>125</v>
      </c>
    </row>
    <row r="103" customFormat="false" ht="15" hidden="false" customHeight="false" outlineLevel="0" collapsed="false">
      <c r="A103" s="14" t="s">
        <v>415</v>
      </c>
      <c r="B103" s="15" t="n">
        <v>45937</v>
      </c>
      <c r="C103" s="14" t="s">
        <v>416</v>
      </c>
      <c r="D103" s="14" t="s">
        <v>417</v>
      </c>
      <c r="E103" s="14" t="s">
        <v>121</v>
      </c>
      <c r="F103" s="14" t="s">
        <v>122</v>
      </c>
      <c r="G103" s="14" t="s">
        <v>134</v>
      </c>
      <c r="H103" s="14" t="s">
        <v>56</v>
      </c>
      <c r="I103" s="14" t="str">
        <f aca="false">IFERROR(INDEX(Calculations!$B$6:$B$27,MATCH(H103,Calculations!$A$6:$A$27,0)),"Unknown")</f>
        <v>Audio</v>
      </c>
      <c r="J103" s="14" t="n">
        <v>1</v>
      </c>
      <c r="K103" s="16" t="n">
        <v>933.95</v>
      </c>
      <c r="L103" s="17" t="n">
        <v>0.1</v>
      </c>
      <c r="M103" s="18" t="n">
        <f aca="false">J103*K103*(1-L103)</f>
        <v>840.555</v>
      </c>
      <c r="N103" s="18" t="n">
        <f aca="false">J103*IFERROR(INDEX(Calculations!$C$6:$C$27,MATCH(H103,Calculations!$A$6:$A$27,0)),0)</f>
        <v>450</v>
      </c>
      <c r="O103" s="18" t="n">
        <f aca="false">M103-N103</f>
        <v>390.555</v>
      </c>
      <c r="P103" s="18" t="n">
        <f aca="false">M103*IFERROR(INDEX(Calculations!$F$6:$F$11,MATCH(I103,Calculations!$E$6:$E$11,0)),0.1)</f>
        <v>84.0555</v>
      </c>
      <c r="Q103" s="18" t="n">
        <f aca="false">O103-P103</f>
        <v>306.4995</v>
      </c>
      <c r="R103" s="14" t="s">
        <v>135</v>
      </c>
      <c r="S103" s="14" t="s">
        <v>125</v>
      </c>
    </row>
    <row r="104" customFormat="false" ht="15" hidden="false" customHeight="false" outlineLevel="0" collapsed="false">
      <c r="A104" s="14" t="s">
        <v>418</v>
      </c>
      <c r="B104" s="15" t="n">
        <v>45937</v>
      </c>
      <c r="C104" s="14" t="s">
        <v>419</v>
      </c>
      <c r="D104" s="14" t="s">
        <v>420</v>
      </c>
      <c r="E104" s="14" t="s">
        <v>139</v>
      </c>
      <c r="F104" s="14" t="s">
        <v>140</v>
      </c>
      <c r="G104" s="14" t="s">
        <v>209</v>
      </c>
      <c r="H104" s="14" t="s">
        <v>74</v>
      </c>
      <c r="I104" s="14" t="str">
        <f aca="false">IFERROR(INDEX(Calculations!$B$6:$B$27,MATCH(H104,Calculations!$A$6:$A$27,0)),"Unknown")</f>
        <v>Wearables</v>
      </c>
      <c r="J104" s="14" t="n">
        <v>4</v>
      </c>
      <c r="K104" s="16" t="n">
        <v>6717.2</v>
      </c>
      <c r="L104" s="17" t="n">
        <v>0.05</v>
      </c>
      <c r="M104" s="18" t="n">
        <f aca="false">J104*K104*(1-L104)</f>
        <v>25525.36</v>
      </c>
      <c r="N104" s="18" t="n">
        <f aca="false">J104*IFERROR(INDEX(Calculations!$C$6:$C$27,MATCH(H104,Calculations!$A$6:$A$27,0)),0)</f>
        <v>15200</v>
      </c>
      <c r="O104" s="18" t="n">
        <f aca="false">M104-N104</f>
        <v>10325.36</v>
      </c>
      <c r="P104" s="18" t="n">
        <f aca="false">M104*IFERROR(INDEX(Calculations!$F$6:$F$11,MATCH(I104,Calculations!$E$6:$E$11,0)),0.1)</f>
        <v>2297.2824</v>
      </c>
      <c r="Q104" s="18" t="n">
        <f aca="false">O104-P104</f>
        <v>8028.0776</v>
      </c>
      <c r="R104" s="14" t="s">
        <v>124</v>
      </c>
      <c r="S104" s="14" t="s">
        <v>125</v>
      </c>
    </row>
    <row r="105" customFormat="false" ht="15" hidden="false" customHeight="false" outlineLevel="0" collapsed="false">
      <c r="A105" s="14" t="s">
        <v>421</v>
      </c>
      <c r="B105" s="15" t="n">
        <v>45939</v>
      </c>
      <c r="C105" s="14" t="s">
        <v>203</v>
      </c>
      <c r="D105" s="14" t="s">
        <v>204</v>
      </c>
      <c r="E105" s="14" t="s">
        <v>194</v>
      </c>
      <c r="F105" s="14" t="s">
        <v>195</v>
      </c>
      <c r="G105" s="14" t="s">
        <v>209</v>
      </c>
      <c r="H105" s="14" t="s">
        <v>60</v>
      </c>
      <c r="I105" s="14" t="str">
        <f aca="false">IFERROR(INDEX(Calculations!$B$6:$B$27,MATCH(H105,Calculations!$A$6:$A$27,0)),"Unknown")</f>
        <v>Mobile Accessories</v>
      </c>
      <c r="J105" s="14" t="n">
        <v>3</v>
      </c>
      <c r="K105" s="16" t="n">
        <v>257.84</v>
      </c>
      <c r="L105" s="17" t="n">
        <v>0</v>
      </c>
      <c r="M105" s="18" t="n">
        <f aca="false">J105*K105*(1-L105)</f>
        <v>773.52</v>
      </c>
      <c r="N105" s="18" t="n">
        <f aca="false">J105*IFERROR(INDEX(Calculations!$C$6:$C$27,MATCH(H105,Calculations!$A$6:$A$27,0)),0)</f>
        <v>270</v>
      </c>
      <c r="O105" s="18" t="n">
        <f aca="false">M105-N105</f>
        <v>503.52</v>
      </c>
      <c r="P105" s="18" t="n">
        <f aca="false">M105*IFERROR(INDEX(Calculations!$F$6:$F$11,MATCH(I105,Calculations!$E$6:$E$11,0)),0.1)</f>
        <v>92.8224</v>
      </c>
      <c r="Q105" s="18" t="n">
        <f aca="false">O105-P105</f>
        <v>410.6976</v>
      </c>
      <c r="R105" s="14" t="s">
        <v>130</v>
      </c>
      <c r="S105" s="14" t="s">
        <v>210</v>
      </c>
    </row>
    <row r="106" customFormat="false" ht="15" hidden="false" customHeight="false" outlineLevel="0" collapsed="false">
      <c r="A106" s="14" t="s">
        <v>422</v>
      </c>
      <c r="B106" s="15" t="n">
        <v>45939</v>
      </c>
      <c r="C106" s="14" t="s">
        <v>326</v>
      </c>
      <c r="D106" s="14" t="s">
        <v>327</v>
      </c>
      <c r="E106" s="14" t="s">
        <v>194</v>
      </c>
      <c r="F106" s="14" t="s">
        <v>195</v>
      </c>
      <c r="G106" s="14" t="s">
        <v>134</v>
      </c>
      <c r="H106" s="14" t="s">
        <v>66</v>
      </c>
      <c r="I106" s="14" t="str">
        <f aca="false">IFERROR(INDEX(Calculations!$B$6:$B$27,MATCH(H106,Calculations!$A$6:$A$27,0)),"Unknown")</f>
        <v>Computer Peripherals</v>
      </c>
      <c r="J106" s="14" t="n">
        <v>3</v>
      </c>
      <c r="K106" s="16" t="n">
        <v>12933.35</v>
      </c>
      <c r="L106" s="17" t="n">
        <v>0.1</v>
      </c>
      <c r="M106" s="18" t="n">
        <f aca="false">J106*K106*(1-L106)</f>
        <v>34920.045</v>
      </c>
      <c r="N106" s="18" t="n">
        <f aca="false">J106*IFERROR(INDEX(Calculations!$C$6:$C$27,MATCH(H106,Calculations!$A$6:$A$27,0)),0)</f>
        <v>21600</v>
      </c>
      <c r="O106" s="18" t="n">
        <f aca="false">M106-N106</f>
        <v>13320.045</v>
      </c>
      <c r="P106" s="18" t="n">
        <f aca="false">M106*IFERROR(INDEX(Calculations!$F$6:$F$11,MATCH(I106,Calculations!$E$6:$E$11,0)),0.1)</f>
        <v>2793.6036</v>
      </c>
      <c r="Q106" s="18" t="n">
        <f aca="false">O106-P106</f>
        <v>10526.4414</v>
      </c>
      <c r="R106" s="14" t="s">
        <v>124</v>
      </c>
      <c r="S106" s="14" t="s">
        <v>125</v>
      </c>
    </row>
    <row r="107" customFormat="false" ht="15" hidden="false" customHeight="false" outlineLevel="0" collapsed="false">
      <c r="A107" s="14" t="s">
        <v>423</v>
      </c>
      <c r="B107" s="15" t="n">
        <v>45939</v>
      </c>
      <c r="C107" s="14" t="s">
        <v>424</v>
      </c>
      <c r="D107" s="14" t="s">
        <v>425</v>
      </c>
      <c r="E107" s="14" t="s">
        <v>121</v>
      </c>
      <c r="F107" s="14" t="s">
        <v>129</v>
      </c>
      <c r="G107" s="14" t="s">
        <v>123</v>
      </c>
      <c r="H107" s="14" t="s">
        <v>63</v>
      </c>
      <c r="I107" s="14" t="str">
        <f aca="false">IFERROR(INDEX(Calculations!$B$6:$B$27,MATCH(H107,Calculations!$A$6:$A$27,0)),"Unknown")</f>
        <v>Mobile Accessories</v>
      </c>
      <c r="J107" s="14" t="n">
        <v>3</v>
      </c>
      <c r="K107" s="16" t="n">
        <v>358.76</v>
      </c>
      <c r="L107" s="17" t="n">
        <v>0</v>
      </c>
      <c r="M107" s="18" t="n">
        <f aca="false">J107*K107*(1-L107)</f>
        <v>1076.28</v>
      </c>
      <c r="N107" s="18" t="n">
        <f aca="false">J107*IFERROR(INDEX(Calculations!$C$6:$C$27,MATCH(H107,Calculations!$A$6:$A$27,0)),0)</f>
        <v>450</v>
      </c>
      <c r="O107" s="18" t="n">
        <f aca="false">M107-N107</f>
        <v>626.28</v>
      </c>
      <c r="P107" s="18" t="n">
        <f aca="false">M107*IFERROR(INDEX(Calculations!$F$6:$F$11,MATCH(I107,Calculations!$E$6:$E$11,0)),0.1)</f>
        <v>129.1536</v>
      </c>
      <c r="Q107" s="18" t="n">
        <f aca="false">O107-P107</f>
        <v>497.1264</v>
      </c>
      <c r="R107" s="14" t="s">
        <v>135</v>
      </c>
      <c r="S107" s="14" t="s">
        <v>125</v>
      </c>
    </row>
    <row r="108" customFormat="false" ht="15" hidden="false" customHeight="false" outlineLevel="0" collapsed="false">
      <c r="A108" s="14" t="s">
        <v>426</v>
      </c>
      <c r="B108" s="15" t="n">
        <v>45939</v>
      </c>
      <c r="C108" s="14" t="s">
        <v>427</v>
      </c>
      <c r="D108" s="14" t="s">
        <v>428</v>
      </c>
      <c r="E108" s="14" t="s">
        <v>194</v>
      </c>
      <c r="F108" s="14" t="s">
        <v>259</v>
      </c>
      <c r="G108" s="14" t="s">
        <v>141</v>
      </c>
      <c r="H108" s="14" t="s">
        <v>72</v>
      </c>
      <c r="I108" s="14" t="str">
        <f aca="false">IFERROR(INDEX(Calculations!$B$6:$B$27,MATCH(H108,Calculations!$A$6:$A$27,0)),"Unknown")</f>
        <v>Smart Home</v>
      </c>
      <c r="J108" s="14" t="n">
        <v>1</v>
      </c>
      <c r="K108" s="16" t="n">
        <v>4511.63</v>
      </c>
      <c r="L108" s="17" t="n">
        <v>0.1</v>
      </c>
      <c r="M108" s="18" t="n">
        <f aca="false">J108*K108*(1-L108)</f>
        <v>4060.467</v>
      </c>
      <c r="N108" s="18" t="n">
        <f aca="false">J108*IFERROR(INDEX(Calculations!$C$6:$C$27,MATCH(H108,Calculations!$A$6:$A$27,0)),0)</f>
        <v>2600</v>
      </c>
      <c r="O108" s="18" t="n">
        <f aca="false">M108-N108</f>
        <v>1460.467</v>
      </c>
      <c r="P108" s="18" t="n">
        <f aca="false">M108*IFERROR(INDEX(Calculations!$F$6:$F$11,MATCH(I108,Calculations!$E$6:$E$11,0)),0.1)</f>
        <v>446.65137</v>
      </c>
      <c r="Q108" s="18" t="n">
        <f aca="false">O108-P108</f>
        <v>1013.81563</v>
      </c>
      <c r="R108" s="14" t="s">
        <v>124</v>
      </c>
      <c r="S108" s="14" t="s">
        <v>125</v>
      </c>
    </row>
    <row r="109" customFormat="false" ht="15" hidden="false" customHeight="false" outlineLevel="0" collapsed="false">
      <c r="A109" s="14" t="s">
        <v>429</v>
      </c>
      <c r="B109" s="15" t="n">
        <v>45939</v>
      </c>
      <c r="C109" s="14" t="s">
        <v>251</v>
      </c>
      <c r="D109" s="14" t="s">
        <v>252</v>
      </c>
      <c r="E109" s="14" t="s">
        <v>121</v>
      </c>
      <c r="F109" s="14" t="s">
        <v>129</v>
      </c>
      <c r="G109" s="14" t="s">
        <v>123</v>
      </c>
      <c r="H109" s="14" t="s">
        <v>72</v>
      </c>
      <c r="I109" s="14" t="str">
        <f aca="false">IFERROR(INDEX(Calculations!$B$6:$B$27,MATCH(H109,Calculations!$A$6:$A$27,0)),"Unknown")</f>
        <v>Smart Home</v>
      </c>
      <c r="J109" s="14" t="n">
        <v>6</v>
      </c>
      <c r="K109" s="16" t="n">
        <v>4670.24</v>
      </c>
      <c r="L109" s="17" t="n">
        <v>0</v>
      </c>
      <c r="M109" s="18" t="n">
        <f aca="false">J109*K109*(1-L109)</f>
        <v>28021.44</v>
      </c>
      <c r="N109" s="18" t="n">
        <f aca="false">J109*IFERROR(INDEX(Calculations!$C$6:$C$27,MATCH(H109,Calculations!$A$6:$A$27,0)),0)</f>
        <v>15600</v>
      </c>
      <c r="O109" s="18" t="n">
        <f aca="false">M109-N109</f>
        <v>12421.44</v>
      </c>
      <c r="P109" s="18" t="n">
        <f aca="false">M109*IFERROR(INDEX(Calculations!$F$6:$F$11,MATCH(I109,Calculations!$E$6:$E$11,0)),0.1)</f>
        <v>3082.3584</v>
      </c>
      <c r="Q109" s="18" t="n">
        <f aca="false">O109-P109</f>
        <v>9339.0816</v>
      </c>
      <c r="R109" s="14" t="s">
        <v>243</v>
      </c>
      <c r="S109" s="14" t="s">
        <v>205</v>
      </c>
    </row>
    <row r="110" customFormat="false" ht="15" hidden="false" customHeight="false" outlineLevel="0" collapsed="false">
      <c r="A110" s="14" t="s">
        <v>430</v>
      </c>
      <c r="B110" s="15" t="n">
        <v>45940</v>
      </c>
      <c r="C110" s="14" t="s">
        <v>431</v>
      </c>
      <c r="D110" s="14" t="s">
        <v>432</v>
      </c>
      <c r="E110" s="14" t="s">
        <v>156</v>
      </c>
      <c r="F110" s="14" t="s">
        <v>169</v>
      </c>
      <c r="G110" s="14" t="s">
        <v>147</v>
      </c>
      <c r="H110" s="14" t="s">
        <v>58</v>
      </c>
      <c r="I110" s="14" t="str">
        <f aca="false">IFERROR(INDEX(Calculations!$B$6:$B$27,MATCH(H110,Calculations!$A$6:$A$27,0)),"Unknown")</f>
        <v>Mobile Accessories</v>
      </c>
      <c r="J110" s="14" t="n">
        <v>1</v>
      </c>
      <c r="K110" s="16" t="n">
        <v>518.45</v>
      </c>
      <c r="L110" s="17" t="n">
        <v>0.15</v>
      </c>
      <c r="M110" s="18" t="n">
        <f aca="false">J110*K110*(1-L110)</f>
        <v>440.6825</v>
      </c>
      <c r="N110" s="18" t="n">
        <f aca="false">J110*IFERROR(INDEX(Calculations!$C$6:$C$27,MATCH(H110,Calculations!$A$6:$A$27,0)),0)</f>
        <v>220</v>
      </c>
      <c r="O110" s="18" t="n">
        <f aca="false">M110-N110</f>
        <v>220.6825</v>
      </c>
      <c r="P110" s="18" t="n">
        <f aca="false">M110*IFERROR(INDEX(Calculations!$F$6:$F$11,MATCH(I110,Calculations!$E$6:$E$11,0)),0.1)</f>
        <v>52.8819</v>
      </c>
      <c r="Q110" s="18" t="n">
        <f aca="false">O110-P110</f>
        <v>167.8006</v>
      </c>
      <c r="R110" s="14" t="s">
        <v>243</v>
      </c>
      <c r="S110" s="14" t="s">
        <v>125</v>
      </c>
    </row>
    <row r="111" customFormat="false" ht="15" hidden="false" customHeight="false" outlineLevel="0" collapsed="false">
      <c r="A111" s="14" t="s">
        <v>433</v>
      </c>
      <c r="B111" s="15" t="n">
        <v>45940</v>
      </c>
      <c r="C111" s="14" t="s">
        <v>434</v>
      </c>
      <c r="D111" s="14" t="s">
        <v>435</v>
      </c>
      <c r="E111" s="14" t="s">
        <v>139</v>
      </c>
      <c r="F111" s="14" t="s">
        <v>152</v>
      </c>
      <c r="G111" s="14" t="s">
        <v>209</v>
      </c>
      <c r="H111" s="14" t="s">
        <v>68</v>
      </c>
      <c r="I111" s="14" t="str">
        <f aca="false">IFERROR(INDEX(Calculations!$B$6:$B$27,MATCH(H111,Calculations!$A$6:$A$27,0)),"Unknown")</f>
        <v>Computer Peripherals</v>
      </c>
      <c r="J111" s="14" t="n">
        <v>3</v>
      </c>
      <c r="K111" s="16" t="n">
        <v>994.73</v>
      </c>
      <c r="L111" s="17" t="n">
        <v>0.1</v>
      </c>
      <c r="M111" s="18" t="n">
        <f aca="false">J111*K111*(1-L111)</f>
        <v>2685.771</v>
      </c>
      <c r="N111" s="18" t="n">
        <f aca="false">J111*IFERROR(INDEX(Calculations!$C$6:$C$27,MATCH(H111,Calculations!$A$6:$A$27,0)),0)</f>
        <v>1500</v>
      </c>
      <c r="O111" s="18" t="n">
        <f aca="false">M111-N111</f>
        <v>1185.771</v>
      </c>
      <c r="P111" s="18" t="n">
        <f aca="false">M111*IFERROR(INDEX(Calculations!$F$6:$F$11,MATCH(I111,Calculations!$E$6:$E$11,0)),0.1)</f>
        <v>214.86168</v>
      </c>
      <c r="Q111" s="18" t="n">
        <f aca="false">O111-P111</f>
        <v>970.90932</v>
      </c>
      <c r="R111" s="14" t="s">
        <v>130</v>
      </c>
      <c r="S111" s="14" t="s">
        <v>125</v>
      </c>
    </row>
    <row r="112" customFormat="false" ht="15" hidden="false" customHeight="false" outlineLevel="0" collapsed="false">
      <c r="A112" s="14" t="s">
        <v>436</v>
      </c>
      <c r="B112" s="15" t="n">
        <v>45942</v>
      </c>
      <c r="C112" s="14" t="s">
        <v>437</v>
      </c>
      <c r="D112" s="14" t="s">
        <v>438</v>
      </c>
      <c r="E112" s="14" t="s">
        <v>194</v>
      </c>
      <c r="F112" s="14" t="s">
        <v>259</v>
      </c>
      <c r="G112" s="14" t="s">
        <v>161</v>
      </c>
      <c r="H112" s="14" t="s">
        <v>52</v>
      </c>
      <c r="I112" s="14" t="str">
        <f aca="false">IFERROR(INDEX(Calculations!$B$6:$B$27,MATCH(H112,Calculations!$A$6:$A$27,0)),"Unknown")</f>
        <v>Audio</v>
      </c>
      <c r="J112" s="14" t="n">
        <v>1</v>
      </c>
      <c r="K112" s="16" t="n">
        <v>1963</v>
      </c>
      <c r="L112" s="17" t="n">
        <v>0.15</v>
      </c>
      <c r="M112" s="18" t="n">
        <f aca="false">J112*K112*(1-L112)</f>
        <v>1668.55</v>
      </c>
      <c r="N112" s="18" t="n">
        <f aca="false">J112*IFERROR(INDEX(Calculations!$C$6:$C$27,MATCH(H112,Calculations!$A$6:$A$27,0)),0)</f>
        <v>900</v>
      </c>
      <c r="O112" s="18" t="n">
        <f aca="false">M112-N112</f>
        <v>768.55</v>
      </c>
      <c r="P112" s="18" t="n">
        <f aca="false">M112*IFERROR(INDEX(Calculations!$F$6:$F$11,MATCH(I112,Calculations!$E$6:$E$11,0)),0.1)</f>
        <v>166.855</v>
      </c>
      <c r="Q112" s="18" t="n">
        <f aca="false">O112-P112</f>
        <v>601.695</v>
      </c>
      <c r="R112" s="14" t="s">
        <v>124</v>
      </c>
      <c r="S112" s="14" t="s">
        <v>125</v>
      </c>
    </row>
    <row r="113" customFormat="false" ht="15" hidden="false" customHeight="false" outlineLevel="0" collapsed="false">
      <c r="A113" s="14" t="s">
        <v>439</v>
      </c>
      <c r="B113" s="15" t="n">
        <v>45942</v>
      </c>
      <c r="C113" s="14" t="s">
        <v>315</v>
      </c>
      <c r="D113" s="14" t="s">
        <v>316</v>
      </c>
      <c r="E113" s="14" t="s">
        <v>194</v>
      </c>
      <c r="F113" s="14" t="s">
        <v>259</v>
      </c>
      <c r="G113" s="14" t="s">
        <v>147</v>
      </c>
      <c r="H113" s="14" t="s">
        <v>74</v>
      </c>
      <c r="I113" s="14" t="str">
        <f aca="false">IFERROR(INDEX(Calculations!$B$6:$B$27,MATCH(H113,Calculations!$A$6:$A$27,0)),"Unknown")</f>
        <v>Wearables</v>
      </c>
      <c r="J113" s="14" t="n">
        <v>4</v>
      </c>
      <c r="K113" s="16" t="n">
        <v>6660.38</v>
      </c>
      <c r="L113" s="17" t="n">
        <v>0.2</v>
      </c>
      <c r="M113" s="18" t="n">
        <f aca="false">J113*K113*(1-L113)</f>
        <v>21313.216</v>
      </c>
      <c r="N113" s="18" t="n">
        <f aca="false">J113*IFERROR(INDEX(Calculations!$C$6:$C$27,MATCH(H113,Calculations!$A$6:$A$27,0)),0)</f>
        <v>15200</v>
      </c>
      <c r="O113" s="18" t="n">
        <f aca="false">M113-N113</f>
        <v>6113.216</v>
      </c>
      <c r="P113" s="18" t="n">
        <f aca="false">M113*IFERROR(INDEX(Calculations!$F$6:$F$11,MATCH(I113,Calculations!$E$6:$E$11,0)),0.1)</f>
        <v>1918.18944</v>
      </c>
      <c r="Q113" s="18" t="n">
        <f aca="false">O113-P113</f>
        <v>4195.02656</v>
      </c>
      <c r="R113" s="14" t="s">
        <v>124</v>
      </c>
      <c r="S113" s="14" t="s">
        <v>125</v>
      </c>
    </row>
    <row r="114" customFormat="false" ht="15" hidden="false" customHeight="false" outlineLevel="0" collapsed="false">
      <c r="A114" s="14" t="s">
        <v>440</v>
      </c>
      <c r="B114" s="15" t="n">
        <v>45942</v>
      </c>
      <c r="C114" s="14" t="s">
        <v>180</v>
      </c>
      <c r="D114" s="14" t="s">
        <v>181</v>
      </c>
      <c r="E114" s="14" t="s">
        <v>139</v>
      </c>
      <c r="F114" s="14" t="s">
        <v>140</v>
      </c>
      <c r="G114" s="14" t="s">
        <v>134</v>
      </c>
      <c r="H114" s="14" t="s">
        <v>72</v>
      </c>
      <c r="I114" s="14" t="str">
        <f aca="false">IFERROR(INDEX(Calculations!$B$6:$B$27,MATCH(H114,Calculations!$A$6:$A$27,0)),"Unknown")</f>
        <v>Smart Home</v>
      </c>
      <c r="J114" s="14" t="n">
        <v>1</v>
      </c>
      <c r="K114" s="16" t="n">
        <v>4541.07</v>
      </c>
      <c r="L114" s="17" t="n">
        <v>0</v>
      </c>
      <c r="M114" s="18" t="n">
        <f aca="false">J114*K114*(1-L114)</f>
        <v>4541.07</v>
      </c>
      <c r="N114" s="18" t="n">
        <f aca="false">J114*IFERROR(INDEX(Calculations!$C$6:$C$27,MATCH(H114,Calculations!$A$6:$A$27,0)),0)</f>
        <v>2600</v>
      </c>
      <c r="O114" s="18" t="n">
        <f aca="false">M114-N114</f>
        <v>1941.07</v>
      </c>
      <c r="P114" s="18" t="n">
        <f aca="false">M114*IFERROR(INDEX(Calculations!$F$6:$F$11,MATCH(I114,Calculations!$E$6:$E$11,0)),0.1)</f>
        <v>499.5177</v>
      </c>
      <c r="Q114" s="18" t="n">
        <f aca="false">O114-P114</f>
        <v>1441.5523</v>
      </c>
      <c r="R114" s="14" t="s">
        <v>130</v>
      </c>
      <c r="S114" s="14" t="s">
        <v>125</v>
      </c>
    </row>
    <row r="115" customFormat="false" ht="15" hidden="false" customHeight="false" outlineLevel="0" collapsed="false">
      <c r="A115" s="14" t="s">
        <v>441</v>
      </c>
      <c r="B115" s="15" t="n">
        <v>45945</v>
      </c>
      <c r="C115" s="14" t="s">
        <v>442</v>
      </c>
      <c r="D115" s="14" t="s">
        <v>443</v>
      </c>
      <c r="E115" s="14" t="s">
        <v>121</v>
      </c>
      <c r="F115" s="14" t="s">
        <v>122</v>
      </c>
      <c r="G115" s="14" t="s">
        <v>147</v>
      </c>
      <c r="H115" s="14" t="s">
        <v>76</v>
      </c>
      <c r="I115" s="14" t="str">
        <f aca="false">IFERROR(INDEX(Calculations!$B$6:$B$27,MATCH(H115,Calculations!$A$6:$A$27,0)),"Unknown")</f>
        <v>Cameras</v>
      </c>
      <c r="J115" s="14" t="n">
        <v>1</v>
      </c>
      <c r="K115" s="16" t="n">
        <v>7352.6</v>
      </c>
      <c r="L115" s="17" t="n">
        <v>0</v>
      </c>
      <c r="M115" s="18" t="n">
        <f aca="false">J115*K115*(1-L115)</f>
        <v>7352.6</v>
      </c>
      <c r="N115" s="18" t="n">
        <f aca="false">J115*IFERROR(INDEX(Calculations!$C$6:$C$27,MATCH(H115,Calculations!$A$6:$A$27,0)),0)</f>
        <v>4200</v>
      </c>
      <c r="O115" s="18" t="n">
        <f aca="false">M115-N115</f>
        <v>3152.6</v>
      </c>
      <c r="P115" s="18" t="n">
        <f aca="false">M115*IFERROR(INDEX(Calculations!$F$6:$F$11,MATCH(I115,Calculations!$E$6:$E$11,0)),0.1)</f>
        <v>551.445</v>
      </c>
      <c r="Q115" s="18" t="n">
        <f aca="false">O115-P115</f>
        <v>2601.155</v>
      </c>
      <c r="R115" s="14" t="s">
        <v>130</v>
      </c>
      <c r="S115" s="14" t="s">
        <v>125</v>
      </c>
    </row>
    <row r="116" customFormat="false" ht="15" hidden="false" customHeight="false" outlineLevel="0" collapsed="false">
      <c r="A116" s="14" t="s">
        <v>444</v>
      </c>
      <c r="B116" s="15" t="n">
        <v>45945</v>
      </c>
      <c r="C116" s="14" t="s">
        <v>445</v>
      </c>
      <c r="D116" s="14" t="s">
        <v>446</v>
      </c>
      <c r="E116" s="14" t="s">
        <v>121</v>
      </c>
      <c r="F116" s="14" t="s">
        <v>129</v>
      </c>
      <c r="G116" s="14" t="s">
        <v>209</v>
      </c>
      <c r="H116" s="14" t="s">
        <v>66</v>
      </c>
      <c r="I116" s="14" t="str">
        <f aca="false">IFERROR(INDEX(Calculations!$B$6:$B$27,MATCH(H116,Calculations!$A$6:$A$27,0)),"Unknown")</f>
        <v>Computer Peripherals</v>
      </c>
      <c r="J116" s="14" t="n">
        <v>3</v>
      </c>
      <c r="K116" s="16" t="n">
        <v>13486.1</v>
      </c>
      <c r="L116" s="17" t="n">
        <v>0.05</v>
      </c>
      <c r="M116" s="18" t="n">
        <f aca="false">J116*K116*(1-L116)</f>
        <v>38435.385</v>
      </c>
      <c r="N116" s="18" t="n">
        <f aca="false">J116*IFERROR(INDEX(Calculations!$C$6:$C$27,MATCH(H116,Calculations!$A$6:$A$27,0)),0)</f>
        <v>21600</v>
      </c>
      <c r="O116" s="18" t="n">
        <f aca="false">M116-N116</f>
        <v>16835.385</v>
      </c>
      <c r="P116" s="18" t="n">
        <f aca="false">M116*IFERROR(INDEX(Calculations!$F$6:$F$11,MATCH(I116,Calculations!$E$6:$E$11,0)),0.1)</f>
        <v>3074.8308</v>
      </c>
      <c r="Q116" s="18" t="n">
        <f aca="false">O116-P116</f>
        <v>13760.5542</v>
      </c>
      <c r="R116" s="14" t="s">
        <v>130</v>
      </c>
      <c r="S116" s="14" t="s">
        <v>125</v>
      </c>
    </row>
    <row r="117" customFormat="false" ht="15" hidden="false" customHeight="false" outlineLevel="0" collapsed="false">
      <c r="A117" s="14" t="s">
        <v>447</v>
      </c>
      <c r="B117" s="15" t="n">
        <v>45946</v>
      </c>
      <c r="C117" s="14" t="s">
        <v>381</v>
      </c>
      <c r="D117" s="14" t="s">
        <v>382</v>
      </c>
      <c r="E117" s="14" t="s">
        <v>156</v>
      </c>
      <c r="F117" s="14" t="s">
        <v>157</v>
      </c>
      <c r="G117" s="14" t="s">
        <v>134</v>
      </c>
      <c r="H117" s="14" t="s">
        <v>69</v>
      </c>
      <c r="I117" s="14" t="str">
        <f aca="false">IFERROR(INDEX(Calculations!$B$6:$B$27,MATCH(H117,Calculations!$A$6:$A$27,0)),"Unknown")</f>
        <v>Smart Home</v>
      </c>
      <c r="J117" s="14" t="n">
        <v>2</v>
      </c>
      <c r="K117" s="16" t="n">
        <v>804.28</v>
      </c>
      <c r="L117" s="17" t="n">
        <v>0.2</v>
      </c>
      <c r="M117" s="18" t="n">
        <f aca="false">J117*K117*(1-L117)</f>
        <v>1286.848</v>
      </c>
      <c r="N117" s="18" t="n">
        <f aca="false">J117*IFERROR(INDEX(Calculations!$C$6:$C$27,MATCH(H117,Calculations!$A$6:$A$27,0)),0)</f>
        <v>700</v>
      </c>
      <c r="O117" s="18" t="n">
        <f aca="false">M117-N117</f>
        <v>586.848</v>
      </c>
      <c r="P117" s="18" t="n">
        <f aca="false">M117*IFERROR(INDEX(Calculations!$F$6:$F$11,MATCH(I117,Calculations!$E$6:$E$11,0)),0.1)</f>
        <v>141.55328</v>
      </c>
      <c r="Q117" s="18" t="n">
        <f aca="false">O117-P117</f>
        <v>445.29472</v>
      </c>
      <c r="R117" s="14" t="s">
        <v>130</v>
      </c>
      <c r="S117" s="14" t="s">
        <v>125</v>
      </c>
    </row>
    <row r="118" customFormat="false" ht="15" hidden="false" customHeight="false" outlineLevel="0" collapsed="false">
      <c r="A118" s="14" t="s">
        <v>448</v>
      </c>
      <c r="B118" s="15" t="n">
        <v>45946</v>
      </c>
      <c r="C118" s="14" t="s">
        <v>449</v>
      </c>
      <c r="D118" s="14" t="s">
        <v>450</v>
      </c>
      <c r="E118" s="14" t="s">
        <v>121</v>
      </c>
      <c r="F118" s="14" t="s">
        <v>129</v>
      </c>
      <c r="G118" s="14" t="s">
        <v>170</v>
      </c>
      <c r="H118" s="14" t="s">
        <v>58</v>
      </c>
      <c r="I118" s="14" t="str">
        <f aca="false">IFERROR(INDEX(Calculations!$B$6:$B$27,MATCH(H118,Calculations!$A$6:$A$27,0)),"Unknown")</f>
        <v>Mobile Accessories</v>
      </c>
      <c r="J118" s="14" t="n">
        <v>3</v>
      </c>
      <c r="K118" s="16" t="n">
        <v>486.09</v>
      </c>
      <c r="L118" s="17" t="n">
        <v>0.05</v>
      </c>
      <c r="M118" s="18" t="n">
        <f aca="false">J118*K118*(1-L118)</f>
        <v>1385.3565</v>
      </c>
      <c r="N118" s="18" t="n">
        <f aca="false">J118*IFERROR(INDEX(Calculations!$C$6:$C$27,MATCH(H118,Calculations!$A$6:$A$27,0)),0)</f>
        <v>660</v>
      </c>
      <c r="O118" s="18" t="n">
        <f aca="false">M118-N118</f>
        <v>725.3565</v>
      </c>
      <c r="P118" s="18" t="n">
        <f aca="false">M118*IFERROR(INDEX(Calculations!$F$6:$F$11,MATCH(I118,Calculations!$E$6:$E$11,0)),0.1)</f>
        <v>166.24278</v>
      </c>
      <c r="Q118" s="18" t="n">
        <f aca="false">O118-P118</f>
        <v>559.11372</v>
      </c>
      <c r="R118" s="14" t="s">
        <v>243</v>
      </c>
      <c r="S118" s="14" t="s">
        <v>210</v>
      </c>
    </row>
    <row r="119" customFormat="false" ht="15" hidden="false" customHeight="false" outlineLevel="0" collapsed="false">
      <c r="A119" s="14" t="s">
        <v>451</v>
      </c>
      <c r="B119" s="15" t="n">
        <v>45946</v>
      </c>
      <c r="C119" s="14" t="s">
        <v>452</v>
      </c>
      <c r="D119" s="14" t="s">
        <v>453</v>
      </c>
      <c r="E119" s="14" t="s">
        <v>156</v>
      </c>
      <c r="F119" s="14" t="s">
        <v>157</v>
      </c>
      <c r="G119" s="14" t="s">
        <v>134</v>
      </c>
      <c r="H119" s="14" t="s">
        <v>64</v>
      </c>
      <c r="I119" s="14" t="str">
        <f aca="false">IFERROR(INDEX(Calculations!$B$6:$B$27,MATCH(H119,Calculations!$A$6:$A$27,0)),"Unknown")</f>
        <v>Computer Peripherals</v>
      </c>
      <c r="J119" s="14" t="n">
        <v>1</v>
      </c>
      <c r="K119" s="16" t="n">
        <v>768.02</v>
      </c>
      <c r="L119" s="17" t="n">
        <v>0.1</v>
      </c>
      <c r="M119" s="18" t="n">
        <f aca="false">J119*K119*(1-L119)</f>
        <v>691.218</v>
      </c>
      <c r="N119" s="18" t="n">
        <f aca="false">J119*IFERROR(INDEX(Calculations!$C$6:$C$27,MATCH(H119,Calculations!$A$6:$A$27,0)),0)</f>
        <v>350</v>
      </c>
      <c r="O119" s="18" t="n">
        <f aca="false">M119-N119</f>
        <v>341.218</v>
      </c>
      <c r="P119" s="18" t="n">
        <f aca="false">M119*IFERROR(INDEX(Calculations!$F$6:$F$11,MATCH(I119,Calculations!$E$6:$E$11,0)),0.1)</f>
        <v>55.29744</v>
      </c>
      <c r="Q119" s="18" t="n">
        <f aca="false">O119-P119</f>
        <v>285.92056</v>
      </c>
      <c r="R119" s="14" t="s">
        <v>124</v>
      </c>
      <c r="S119" s="14" t="s">
        <v>125</v>
      </c>
    </row>
    <row r="120" customFormat="false" ht="15" hidden="false" customHeight="false" outlineLevel="0" collapsed="false">
      <c r="A120" s="14" t="s">
        <v>454</v>
      </c>
      <c r="B120" s="15" t="n">
        <v>45947</v>
      </c>
      <c r="C120" s="14" t="s">
        <v>455</v>
      </c>
      <c r="D120" s="14" t="s">
        <v>456</v>
      </c>
      <c r="E120" s="14" t="s">
        <v>194</v>
      </c>
      <c r="F120" s="14" t="s">
        <v>195</v>
      </c>
      <c r="G120" s="14" t="s">
        <v>123</v>
      </c>
      <c r="H120" s="14" t="s">
        <v>76</v>
      </c>
      <c r="I120" s="14" t="str">
        <f aca="false">IFERROR(INDEX(Calculations!$B$6:$B$27,MATCH(H120,Calculations!$A$6:$A$27,0)),"Unknown")</f>
        <v>Cameras</v>
      </c>
      <c r="J120" s="14" t="n">
        <v>2</v>
      </c>
      <c r="K120" s="16" t="n">
        <v>7464.43</v>
      </c>
      <c r="L120" s="17" t="n">
        <v>0</v>
      </c>
      <c r="M120" s="18" t="n">
        <f aca="false">J120*K120*(1-L120)</f>
        <v>14928.86</v>
      </c>
      <c r="N120" s="18" t="n">
        <f aca="false">J120*IFERROR(INDEX(Calculations!$C$6:$C$27,MATCH(H120,Calculations!$A$6:$A$27,0)),0)</f>
        <v>8400</v>
      </c>
      <c r="O120" s="18" t="n">
        <f aca="false">M120-N120</f>
        <v>6528.86</v>
      </c>
      <c r="P120" s="18" t="n">
        <f aca="false">M120*IFERROR(INDEX(Calculations!$F$6:$F$11,MATCH(I120,Calculations!$E$6:$E$11,0)),0.1)</f>
        <v>1119.6645</v>
      </c>
      <c r="Q120" s="18" t="n">
        <f aca="false">O120-P120</f>
        <v>5409.1955</v>
      </c>
      <c r="R120" s="14" t="s">
        <v>243</v>
      </c>
      <c r="S120" s="14" t="s">
        <v>125</v>
      </c>
    </row>
    <row r="121" customFormat="false" ht="15" hidden="false" customHeight="false" outlineLevel="0" collapsed="false">
      <c r="A121" s="14" t="s">
        <v>457</v>
      </c>
      <c r="B121" s="15" t="n">
        <v>45947</v>
      </c>
      <c r="C121" s="14" t="s">
        <v>458</v>
      </c>
      <c r="D121" s="14" t="s">
        <v>459</v>
      </c>
      <c r="E121" s="14" t="s">
        <v>156</v>
      </c>
      <c r="F121" s="14" t="s">
        <v>157</v>
      </c>
      <c r="G121" s="14" t="s">
        <v>175</v>
      </c>
      <c r="H121" s="14" t="s">
        <v>63</v>
      </c>
      <c r="I121" s="14" t="str">
        <f aca="false">IFERROR(INDEX(Calculations!$B$6:$B$27,MATCH(H121,Calculations!$A$6:$A$27,0)),"Unknown")</f>
        <v>Mobile Accessories</v>
      </c>
      <c r="J121" s="14" t="n">
        <v>5</v>
      </c>
      <c r="K121" s="16" t="n">
        <v>335.71</v>
      </c>
      <c r="L121" s="17" t="n">
        <v>0.05</v>
      </c>
      <c r="M121" s="18" t="n">
        <f aca="false">J121*K121*(1-L121)</f>
        <v>1594.6225</v>
      </c>
      <c r="N121" s="18" t="n">
        <f aca="false">J121*IFERROR(INDEX(Calculations!$C$6:$C$27,MATCH(H121,Calculations!$A$6:$A$27,0)),0)</f>
        <v>750</v>
      </c>
      <c r="O121" s="18" t="n">
        <f aca="false">M121-N121</f>
        <v>844.6225</v>
      </c>
      <c r="P121" s="18" t="n">
        <f aca="false">M121*IFERROR(INDEX(Calculations!$F$6:$F$11,MATCH(I121,Calculations!$E$6:$E$11,0)),0.1)</f>
        <v>191.3547</v>
      </c>
      <c r="Q121" s="18" t="n">
        <f aca="false">O121-P121</f>
        <v>653.2678</v>
      </c>
      <c r="R121" s="14" t="s">
        <v>135</v>
      </c>
      <c r="S121" s="14" t="s">
        <v>125</v>
      </c>
    </row>
    <row r="122" customFormat="false" ht="15" hidden="false" customHeight="false" outlineLevel="0" collapsed="false">
      <c r="A122" s="14" t="s">
        <v>460</v>
      </c>
      <c r="B122" s="15" t="n">
        <v>45947</v>
      </c>
      <c r="C122" s="14" t="s">
        <v>461</v>
      </c>
      <c r="D122" s="14" t="s">
        <v>462</v>
      </c>
      <c r="E122" s="14" t="s">
        <v>194</v>
      </c>
      <c r="F122" s="14" t="s">
        <v>259</v>
      </c>
      <c r="G122" s="14" t="s">
        <v>175</v>
      </c>
      <c r="H122" s="14" t="s">
        <v>54</v>
      </c>
      <c r="I122" s="14" t="str">
        <f aca="false">IFERROR(INDEX(Calculations!$B$6:$B$27,MATCH(H122,Calculations!$A$6:$A$27,0)),"Unknown")</f>
        <v>Audio</v>
      </c>
      <c r="J122" s="14" t="n">
        <v>2</v>
      </c>
      <c r="K122" s="16" t="n">
        <v>2763.6</v>
      </c>
      <c r="L122" s="17" t="n">
        <v>0.05</v>
      </c>
      <c r="M122" s="18" t="n">
        <f aca="false">J122*K122*(1-L122)</f>
        <v>5250.84</v>
      </c>
      <c r="N122" s="18" t="n">
        <f aca="false">J122*IFERROR(INDEX(Calculations!$C$6:$C$27,MATCH(H122,Calculations!$A$6:$A$27,0)),0)</f>
        <v>2800</v>
      </c>
      <c r="O122" s="18" t="n">
        <f aca="false">M122-N122</f>
        <v>2450.84</v>
      </c>
      <c r="P122" s="18" t="n">
        <f aca="false">M122*IFERROR(INDEX(Calculations!$F$6:$F$11,MATCH(I122,Calculations!$E$6:$E$11,0)),0.1)</f>
        <v>525.084</v>
      </c>
      <c r="Q122" s="18" t="n">
        <f aca="false">O122-P122</f>
        <v>1925.756</v>
      </c>
      <c r="R122" s="14" t="s">
        <v>165</v>
      </c>
      <c r="S122" s="14" t="s">
        <v>148</v>
      </c>
    </row>
    <row r="123" customFormat="false" ht="15" hidden="false" customHeight="false" outlineLevel="0" collapsed="false">
      <c r="A123" s="14" t="s">
        <v>463</v>
      </c>
      <c r="B123" s="15" t="n">
        <v>45948</v>
      </c>
      <c r="C123" s="14" t="s">
        <v>163</v>
      </c>
      <c r="D123" s="14" t="s">
        <v>164</v>
      </c>
      <c r="E123" s="14" t="s">
        <v>121</v>
      </c>
      <c r="F123" s="14" t="s">
        <v>129</v>
      </c>
      <c r="G123" s="14" t="s">
        <v>170</v>
      </c>
      <c r="H123" s="14" t="s">
        <v>71</v>
      </c>
      <c r="I123" s="14" t="str">
        <f aca="false">IFERROR(INDEX(Calculations!$B$6:$B$27,MATCH(H123,Calculations!$A$6:$A$27,0)),"Unknown")</f>
        <v>Smart Home</v>
      </c>
      <c r="J123" s="14" t="n">
        <v>3</v>
      </c>
      <c r="K123" s="16" t="n">
        <v>906.6</v>
      </c>
      <c r="L123" s="17" t="n">
        <v>0.05</v>
      </c>
      <c r="M123" s="18" t="n">
        <f aca="false">J123*K123*(1-L123)</f>
        <v>2583.81</v>
      </c>
      <c r="N123" s="18" t="n">
        <f aca="false">J123*IFERROR(INDEX(Calculations!$C$6:$C$27,MATCH(H123,Calculations!$A$6:$A$27,0)),0)</f>
        <v>1350</v>
      </c>
      <c r="O123" s="18" t="n">
        <f aca="false">M123-N123</f>
        <v>1233.81</v>
      </c>
      <c r="P123" s="18" t="n">
        <f aca="false">M123*IFERROR(INDEX(Calculations!$F$6:$F$11,MATCH(I123,Calculations!$E$6:$E$11,0)),0.1)</f>
        <v>284.2191</v>
      </c>
      <c r="Q123" s="18" t="n">
        <f aca="false">O123-P123</f>
        <v>949.5909</v>
      </c>
      <c r="R123" s="14" t="s">
        <v>124</v>
      </c>
      <c r="S123" s="14" t="s">
        <v>125</v>
      </c>
    </row>
    <row r="124" customFormat="false" ht="15" hidden="false" customHeight="false" outlineLevel="0" collapsed="false">
      <c r="A124" s="14" t="s">
        <v>464</v>
      </c>
      <c r="B124" s="15" t="n">
        <v>45948</v>
      </c>
      <c r="C124" s="14" t="s">
        <v>465</v>
      </c>
      <c r="D124" s="14" t="s">
        <v>466</v>
      </c>
      <c r="E124" s="14" t="s">
        <v>139</v>
      </c>
      <c r="F124" s="14" t="s">
        <v>152</v>
      </c>
      <c r="G124" s="14" t="s">
        <v>147</v>
      </c>
      <c r="H124" s="14" t="s">
        <v>72</v>
      </c>
      <c r="I124" s="14" t="str">
        <f aca="false">IFERROR(INDEX(Calculations!$B$6:$B$27,MATCH(H124,Calculations!$A$6:$A$27,0)),"Unknown")</f>
        <v>Smart Home</v>
      </c>
      <c r="J124" s="14" t="n">
        <v>1</v>
      </c>
      <c r="K124" s="16" t="n">
        <v>4493.05</v>
      </c>
      <c r="L124" s="17" t="n">
        <v>0.15</v>
      </c>
      <c r="M124" s="18" t="n">
        <f aca="false">J124*K124*(1-L124)</f>
        <v>3819.0925</v>
      </c>
      <c r="N124" s="18" t="n">
        <f aca="false">J124*IFERROR(INDEX(Calculations!$C$6:$C$27,MATCH(H124,Calculations!$A$6:$A$27,0)),0)</f>
        <v>2600</v>
      </c>
      <c r="O124" s="18" t="n">
        <f aca="false">M124-N124</f>
        <v>1219.0925</v>
      </c>
      <c r="P124" s="18" t="n">
        <f aca="false">M124*IFERROR(INDEX(Calculations!$F$6:$F$11,MATCH(I124,Calculations!$E$6:$E$11,0)),0.1)</f>
        <v>420.100175</v>
      </c>
      <c r="Q124" s="18" t="n">
        <f aca="false">O124-P124</f>
        <v>798.992325</v>
      </c>
      <c r="R124" s="14" t="s">
        <v>130</v>
      </c>
      <c r="S124" s="14" t="s">
        <v>125</v>
      </c>
    </row>
    <row r="125" customFormat="false" ht="15" hidden="false" customHeight="false" outlineLevel="0" collapsed="false">
      <c r="A125" s="14" t="s">
        <v>467</v>
      </c>
      <c r="B125" s="15" t="n">
        <v>45949</v>
      </c>
      <c r="C125" s="14" t="s">
        <v>468</v>
      </c>
      <c r="D125" s="14" t="s">
        <v>469</v>
      </c>
      <c r="E125" s="14" t="s">
        <v>156</v>
      </c>
      <c r="F125" s="14" t="s">
        <v>157</v>
      </c>
      <c r="G125" s="14" t="s">
        <v>161</v>
      </c>
      <c r="H125" s="14" t="s">
        <v>67</v>
      </c>
      <c r="I125" s="14" t="str">
        <f aca="false">IFERROR(INDEX(Calculations!$B$6:$B$27,MATCH(H125,Calculations!$A$6:$A$27,0)),"Unknown")</f>
        <v>Computer Peripherals</v>
      </c>
      <c r="J125" s="14" t="n">
        <v>1</v>
      </c>
      <c r="K125" s="16" t="n">
        <v>1853</v>
      </c>
      <c r="L125" s="17" t="n">
        <v>0.1</v>
      </c>
      <c r="M125" s="18" t="n">
        <f aca="false">J125*K125*(1-L125)</f>
        <v>1667.7</v>
      </c>
      <c r="N125" s="18" t="n">
        <f aca="false">J125*IFERROR(INDEX(Calculations!$C$6:$C$27,MATCH(H125,Calculations!$A$6:$A$27,0)),0)</f>
        <v>900</v>
      </c>
      <c r="O125" s="18" t="n">
        <f aca="false">M125-N125</f>
        <v>767.7</v>
      </c>
      <c r="P125" s="18" t="n">
        <f aca="false">M125*IFERROR(INDEX(Calculations!$F$6:$F$11,MATCH(I125,Calculations!$E$6:$E$11,0)),0.1)</f>
        <v>133.416</v>
      </c>
      <c r="Q125" s="18" t="n">
        <f aca="false">O125-P125</f>
        <v>634.284</v>
      </c>
      <c r="R125" s="14" t="s">
        <v>130</v>
      </c>
      <c r="S125" s="14" t="s">
        <v>125</v>
      </c>
    </row>
    <row r="126" customFormat="false" ht="15" hidden="false" customHeight="false" outlineLevel="0" collapsed="false">
      <c r="A126" s="14" t="s">
        <v>470</v>
      </c>
      <c r="B126" s="15" t="n">
        <v>45951</v>
      </c>
      <c r="C126" s="14" t="s">
        <v>471</v>
      </c>
      <c r="D126" s="14" t="s">
        <v>472</v>
      </c>
      <c r="E126" s="14" t="s">
        <v>156</v>
      </c>
      <c r="F126" s="14" t="s">
        <v>157</v>
      </c>
      <c r="G126" s="14" t="s">
        <v>170</v>
      </c>
      <c r="H126" s="14" t="s">
        <v>62</v>
      </c>
      <c r="I126" s="14" t="str">
        <f aca="false">IFERROR(INDEX(Calculations!$B$6:$B$27,MATCH(H126,Calculations!$A$6:$A$27,0)),"Unknown")</f>
        <v>Mobile Accessories</v>
      </c>
      <c r="J126" s="14" t="n">
        <v>6</v>
      </c>
      <c r="K126" s="16" t="n">
        <v>348.07</v>
      </c>
      <c r="L126" s="17" t="n">
        <v>0.15</v>
      </c>
      <c r="M126" s="18" t="n">
        <f aca="false">J126*K126*(1-L126)</f>
        <v>1775.157</v>
      </c>
      <c r="N126" s="18" t="n">
        <f aca="false">J126*IFERROR(INDEX(Calculations!$C$6:$C$27,MATCH(H126,Calculations!$A$6:$A$27,0)),0)</f>
        <v>780</v>
      </c>
      <c r="O126" s="18" t="n">
        <f aca="false">M126-N126</f>
        <v>995.157</v>
      </c>
      <c r="P126" s="18" t="n">
        <f aca="false">M126*IFERROR(INDEX(Calculations!$F$6:$F$11,MATCH(I126,Calculations!$E$6:$E$11,0)),0.1)</f>
        <v>213.01884</v>
      </c>
      <c r="Q126" s="18" t="n">
        <f aca="false">O126-P126</f>
        <v>782.13816</v>
      </c>
      <c r="R126" s="14" t="s">
        <v>124</v>
      </c>
      <c r="S126" s="14" t="s">
        <v>125</v>
      </c>
    </row>
    <row r="127" customFormat="false" ht="15" hidden="false" customHeight="false" outlineLevel="0" collapsed="false">
      <c r="A127" s="14" t="s">
        <v>473</v>
      </c>
      <c r="B127" s="15" t="n">
        <v>45953</v>
      </c>
      <c r="C127" s="14" t="s">
        <v>474</v>
      </c>
      <c r="D127" s="14" t="s">
        <v>475</v>
      </c>
      <c r="E127" s="14" t="s">
        <v>156</v>
      </c>
      <c r="F127" s="14" t="s">
        <v>169</v>
      </c>
      <c r="G127" s="14" t="s">
        <v>147</v>
      </c>
      <c r="H127" s="14" t="s">
        <v>65</v>
      </c>
      <c r="I127" s="14" t="str">
        <f aca="false">IFERROR(INDEX(Calculations!$B$6:$B$27,MATCH(H127,Calculations!$A$6:$A$27,0)),"Unknown")</f>
        <v>Computer Peripherals</v>
      </c>
      <c r="J127" s="14" t="n">
        <v>2</v>
      </c>
      <c r="K127" s="16" t="n">
        <v>3288.43</v>
      </c>
      <c r="L127" s="17" t="n">
        <v>0.1</v>
      </c>
      <c r="M127" s="18" t="n">
        <f aca="false">J127*K127*(1-L127)</f>
        <v>5919.174</v>
      </c>
      <c r="N127" s="18" t="n">
        <f aca="false">J127*IFERROR(INDEX(Calculations!$C$6:$C$27,MATCH(H127,Calculations!$A$6:$A$27,0)),0)</f>
        <v>3200</v>
      </c>
      <c r="O127" s="18" t="n">
        <f aca="false">M127-N127</f>
        <v>2719.174</v>
      </c>
      <c r="P127" s="18" t="n">
        <f aca="false">M127*IFERROR(INDEX(Calculations!$F$6:$F$11,MATCH(I127,Calculations!$E$6:$E$11,0)),0.1)</f>
        <v>473.53392</v>
      </c>
      <c r="Q127" s="18" t="n">
        <f aca="false">O127-P127</f>
        <v>2245.64008</v>
      </c>
      <c r="R127" s="14" t="s">
        <v>124</v>
      </c>
      <c r="S127" s="14" t="s">
        <v>125</v>
      </c>
    </row>
    <row r="128" customFormat="false" ht="15" hidden="false" customHeight="false" outlineLevel="0" collapsed="false">
      <c r="A128" s="14" t="s">
        <v>476</v>
      </c>
      <c r="B128" s="15" t="n">
        <v>45953</v>
      </c>
      <c r="C128" s="14" t="s">
        <v>477</v>
      </c>
      <c r="D128" s="14" t="s">
        <v>478</v>
      </c>
      <c r="E128" s="14" t="s">
        <v>156</v>
      </c>
      <c r="F128" s="14" t="s">
        <v>169</v>
      </c>
      <c r="G128" s="14" t="s">
        <v>170</v>
      </c>
      <c r="H128" s="14" t="s">
        <v>50</v>
      </c>
      <c r="I128" s="14" t="str">
        <f aca="false">IFERROR(INDEX(Calculations!$B$6:$B$27,MATCH(H128,Calculations!$A$6:$A$27,0)),"Unknown")</f>
        <v>Audio</v>
      </c>
      <c r="J128" s="14" t="n">
        <v>5</v>
      </c>
      <c r="K128" s="16" t="n">
        <v>1301.39</v>
      </c>
      <c r="L128" s="17" t="n">
        <v>0.1</v>
      </c>
      <c r="M128" s="18" t="n">
        <f aca="false">J128*K128*(1-L128)</f>
        <v>5856.255</v>
      </c>
      <c r="N128" s="18" t="n">
        <f aca="false">J128*IFERROR(INDEX(Calculations!$C$6:$C$27,MATCH(H128,Calculations!$A$6:$A$27,0)),0)</f>
        <v>3250</v>
      </c>
      <c r="O128" s="18" t="n">
        <f aca="false">M128-N128</f>
        <v>2606.255</v>
      </c>
      <c r="P128" s="18" t="n">
        <f aca="false">M128*IFERROR(INDEX(Calculations!$F$6:$F$11,MATCH(I128,Calculations!$E$6:$E$11,0)),0.1)</f>
        <v>585.6255</v>
      </c>
      <c r="Q128" s="18" t="n">
        <f aca="false">O128-P128</f>
        <v>2020.6295</v>
      </c>
      <c r="R128" s="14" t="s">
        <v>135</v>
      </c>
      <c r="S128" s="14" t="s">
        <v>125</v>
      </c>
    </row>
    <row r="129" customFormat="false" ht="15" hidden="false" customHeight="false" outlineLevel="0" collapsed="false">
      <c r="A129" s="14" t="s">
        <v>479</v>
      </c>
      <c r="B129" s="15" t="n">
        <v>45954</v>
      </c>
      <c r="C129" s="14" t="s">
        <v>480</v>
      </c>
      <c r="D129" s="14" t="s">
        <v>481</v>
      </c>
      <c r="E129" s="14" t="s">
        <v>121</v>
      </c>
      <c r="F129" s="14" t="s">
        <v>129</v>
      </c>
      <c r="G129" s="14" t="s">
        <v>170</v>
      </c>
      <c r="H129" s="14" t="s">
        <v>75</v>
      </c>
      <c r="I129" s="14" t="str">
        <f aca="false">IFERROR(INDEX(Calculations!$B$6:$B$27,MATCH(H129,Calculations!$A$6:$A$27,0)),"Unknown")</f>
        <v>Wearables</v>
      </c>
      <c r="J129" s="14" t="n">
        <v>1</v>
      </c>
      <c r="K129" s="16" t="n">
        <v>3263.19</v>
      </c>
      <c r="L129" s="17" t="n">
        <v>0.1</v>
      </c>
      <c r="M129" s="18" t="n">
        <f aca="false">J129*K129*(1-L129)</f>
        <v>2936.871</v>
      </c>
      <c r="N129" s="18" t="n">
        <f aca="false">J129*IFERROR(INDEX(Calculations!$C$6:$C$27,MATCH(H129,Calculations!$A$6:$A$27,0)),0)</f>
        <v>1900</v>
      </c>
      <c r="O129" s="18" t="n">
        <f aca="false">M129-N129</f>
        <v>1036.871</v>
      </c>
      <c r="P129" s="18" t="n">
        <f aca="false">M129*IFERROR(INDEX(Calculations!$F$6:$F$11,MATCH(I129,Calculations!$E$6:$E$11,0)),0.1)</f>
        <v>264.31839</v>
      </c>
      <c r="Q129" s="18" t="n">
        <f aca="false">O129-P129</f>
        <v>772.55261</v>
      </c>
      <c r="R129" s="14" t="s">
        <v>243</v>
      </c>
      <c r="S129" s="14" t="s">
        <v>125</v>
      </c>
    </row>
    <row r="130" customFormat="false" ht="15" hidden="false" customHeight="false" outlineLevel="0" collapsed="false">
      <c r="A130" s="14" t="s">
        <v>482</v>
      </c>
      <c r="B130" s="15" t="n">
        <v>45955</v>
      </c>
      <c r="C130" s="14" t="s">
        <v>224</v>
      </c>
      <c r="D130" s="14" t="s">
        <v>225</v>
      </c>
      <c r="E130" s="14" t="s">
        <v>121</v>
      </c>
      <c r="F130" s="14" t="s">
        <v>122</v>
      </c>
      <c r="G130" s="14" t="s">
        <v>134</v>
      </c>
      <c r="H130" s="14" t="s">
        <v>69</v>
      </c>
      <c r="I130" s="14" t="str">
        <f aca="false">IFERROR(INDEX(Calculations!$B$6:$B$27,MATCH(H130,Calculations!$A$6:$A$27,0)),"Unknown")</f>
        <v>Smart Home</v>
      </c>
      <c r="J130" s="14" t="n">
        <v>4</v>
      </c>
      <c r="K130" s="16" t="n">
        <v>775.03</v>
      </c>
      <c r="L130" s="17" t="n">
        <v>0</v>
      </c>
      <c r="M130" s="18" t="n">
        <f aca="false">J130*K130*(1-L130)</f>
        <v>3100.12</v>
      </c>
      <c r="N130" s="18" t="n">
        <f aca="false">J130*IFERROR(INDEX(Calculations!$C$6:$C$27,MATCH(H130,Calculations!$A$6:$A$27,0)),0)</f>
        <v>1400</v>
      </c>
      <c r="O130" s="18" t="n">
        <f aca="false">M130-N130</f>
        <v>1700.12</v>
      </c>
      <c r="P130" s="18" t="n">
        <f aca="false">M130*IFERROR(INDEX(Calculations!$F$6:$F$11,MATCH(I130,Calculations!$E$6:$E$11,0)),0.1)</f>
        <v>341.0132</v>
      </c>
      <c r="Q130" s="18" t="n">
        <f aca="false">O130-P130</f>
        <v>1359.1068</v>
      </c>
      <c r="R130" s="14" t="s">
        <v>130</v>
      </c>
      <c r="S130" s="14" t="s">
        <v>125</v>
      </c>
    </row>
    <row r="131" customFormat="false" ht="15" hidden="false" customHeight="false" outlineLevel="0" collapsed="false">
      <c r="A131" s="14" t="s">
        <v>483</v>
      </c>
      <c r="B131" s="15" t="n">
        <v>45956</v>
      </c>
      <c r="C131" s="14" t="s">
        <v>484</v>
      </c>
      <c r="D131" s="14" t="s">
        <v>485</v>
      </c>
      <c r="E131" s="14" t="s">
        <v>156</v>
      </c>
      <c r="F131" s="14" t="s">
        <v>169</v>
      </c>
      <c r="G131" s="14" t="s">
        <v>134</v>
      </c>
      <c r="H131" s="14" t="s">
        <v>67</v>
      </c>
      <c r="I131" s="14" t="str">
        <f aca="false">IFERROR(INDEX(Calculations!$B$6:$B$27,MATCH(H131,Calculations!$A$6:$A$27,0)),"Unknown")</f>
        <v>Computer Peripherals</v>
      </c>
      <c r="J131" s="14" t="n">
        <v>3</v>
      </c>
      <c r="K131" s="16" t="n">
        <v>1797.32</v>
      </c>
      <c r="L131" s="17" t="n">
        <v>0.15</v>
      </c>
      <c r="M131" s="18" t="n">
        <f aca="false">J131*K131*(1-L131)</f>
        <v>4583.166</v>
      </c>
      <c r="N131" s="18" t="n">
        <f aca="false">J131*IFERROR(INDEX(Calculations!$C$6:$C$27,MATCH(H131,Calculations!$A$6:$A$27,0)),0)</f>
        <v>2700</v>
      </c>
      <c r="O131" s="18" t="n">
        <f aca="false">M131-N131</f>
        <v>1883.166</v>
      </c>
      <c r="P131" s="18" t="n">
        <f aca="false">M131*IFERROR(INDEX(Calculations!$F$6:$F$11,MATCH(I131,Calculations!$E$6:$E$11,0)),0.1)</f>
        <v>366.65328</v>
      </c>
      <c r="Q131" s="18" t="n">
        <f aca="false">O131-P131</f>
        <v>1516.51272</v>
      </c>
      <c r="R131" s="14" t="s">
        <v>124</v>
      </c>
      <c r="S131" s="14" t="s">
        <v>125</v>
      </c>
    </row>
    <row r="132" customFormat="false" ht="15" hidden="false" customHeight="false" outlineLevel="0" collapsed="false">
      <c r="A132" s="14" t="s">
        <v>486</v>
      </c>
      <c r="B132" s="15" t="n">
        <v>45956</v>
      </c>
      <c r="C132" s="14" t="s">
        <v>471</v>
      </c>
      <c r="D132" s="14" t="s">
        <v>472</v>
      </c>
      <c r="E132" s="14" t="s">
        <v>156</v>
      </c>
      <c r="F132" s="14" t="s">
        <v>157</v>
      </c>
      <c r="G132" s="14" t="s">
        <v>175</v>
      </c>
      <c r="H132" s="14" t="s">
        <v>69</v>
      </c>
      <c r="I132" s="14" t="str">
        <f aca="false">IFERROR(INDEX(Calculations!$B$6:$B$27,MATCH(H132,Calculations!$A$6:$A$27,0)),"Unknown")</f>
        <v>Smart Home</v>
      </c>
      <c r="J132" s="14" t="n">
        <v>1</v>
      </c>
      <c r="K132" s="16" t="n">
        <v>817.26</v>
      </c>
      <c r="L132" s="17" t="n">
        <v>0.1</v>
      </c>
      <c r="M132" s="18" t="n">
        <f aca="false">J132*K132*(1-L132)</f>
        <v>735.534</v>
      </c>
      <c r="N132" s="18" t="n">
        <f aca="false">J132*IFERROR(INDEX(Calculations!$C$6:$C$27,MATCH(H132,Calculations!$A$6:$A$27,0)),0)</f>
        <v>350</v>
      </c>
      <c r="O132" s="18" t="n">
        <f aca="false">M132-N132</f>
        <v>385.534</v>
      </c>
      <c r="P132" s="18" t="n">
        <f aca="false">M132*IFERROR(INDEX(Calculations!$F$6:$F$11,MATCH(I132,Calculations!$E$6:$E$11,0)),0.1)</f>
        <v>80.90874</v>
      </c>
      <c r="Q132" s="18" t="n">
        <f aca="false">O132-P132</f>
        <v>304.62526</v>
      </c>
      <c r="R132" s="14" t="s">
        <v>135</v>
      </c>
      <c r="S132" s="14" t="s">
        <v>125</v>
      </c>
    </row>
    <row r="133" customFormat="false" ht="15" hidden="false" customHeight="false" outlineLevel="0" collapsed="false">
      <c r="A133" s="14" t="s">
        <v>487</v>
      </c>
      <c r="B133" s="15" t="n">
        <v>45957</v>
      </c>
      <c r="C133" s="14" t="s">
        <v>183</v>
      </c>
      <c r="D133" s="14" t="s">
        <v>184</v>
      </c>
      <c r="E133" s="14" t="s">
        <v>121</v>
      </c>
      <c r="F133" s="14" t="s">
        <v>122</v>
      </c>
      <c r="G133" s="14" t="s">
        <v>123</v>
      </c>
      <c r="H133" s="14" t="s">
        <v>71</v>
      </c>
      <c r="I133" s="14" t="str">
        <f aca="false">IFERROR(INDEX(Calculations!$B$6:$B$27,MATCH(H133,Calculations!$A$6:$A$27,0)),"Unknown")</f>
        <v>Smart Home</v>
      </c>
      <c r="J133" s="14" t="n">
        <v>1</v>
      </c>
      <c r="K133" s="16" t="n">
        <v>912</v>
      </c>
      <c r="L133" s="17" t="n">
        <v>0</v>
      </c>
      <c r="M133" s="18" t="n">
        <f aca="false">J133*K133*(1-L133)</f>
        <v>912</v>
      </c>
      <c r="N133" s="18" t="n">
        <f aca="false">J133*IFERROR(INDEX(Calculations!$C$6:$C$27,MATCH(H133,Calculations!$A$6:$A$27,0)),0)</f>
        <v>450</v>
      </c>
      <c r="O133" s="18" t="n">
        <f aca="false">M133-N133</f>
        <v>462</v>
      </c>
      <c r="P133" s="18" t="n">
        <f aca="false">M133*IFERROR(INDEX(Calculations!$F$6:$F$11,MATCH(I133,Calculations!$E$6:$E$11,0)),0.1)</f>
        <v>100.32</v>
      </c>
      <c r="Q133" s="18" t="n">
        <f aca="false">O133-P133</f>
        <v>361.68</v>
      </c>
      <c r="R133" s="14" t="s">
        <v>243</v>
      </c>
      <c r="S133" s="14" t="s">
        <v>125</v>
      </c>
    </row>
    <row r="134" customFormat="false" ht="15" hidden="false" customHeight="false" outlineLevel="0" collapsed="false">
      <c r="A134" s="14" t="s">
        <v>488</v>
      </c>
      <c r="B134" s="15" t="n">
        <v>45958</v>
      </c>
      <c r="C134" s="14" t="s">
        <v>315</v>
      </c>
      <c r="D134" s="14" t="s">
        <v>316</v>
      </c>
      <c r="E134" s="14" t="s">
        <v>194</v>
      </c>
      <c r="F134" s="14" t="s">
        <v>259</v>
      </c>
      <c r="G134" s="14" t="s">
        <v>147</v>
      </c>
      <c r="H134" s="14" t="s">
        <v>50</v>
      </c>
      <c r="I134" s="14" t="str">
        <f aca="false">IFERROR(INDEX(Calculations!$B$6:$B$27,MATCH(H134,Calculations!$A$6:$A$27,0)),"Unknown")</f>
        <v>Audio</v>
      </c>
      <c r="J134" s="14" t="n">
        <v>4</v>
      </c>
      <c r="K134" s="16" t="n">
        <v>1267.9</v>
      </c>
      <c r="L134" s="17" t="n">
        <v>0</v>
      </c>
      <c r="M134" s="18" t="n">
        <f aca="false">J134*K134*(1-L134)</f>
        <v>5071.6</v>
      </c>
      <c r="N134" s="18" t="n">
        <f aca="false">J134*IFERROR(INDEX(Calculations!$C$6:$C$27,MATCH(H134,Calculations!$A$6:$A$27,0)),0)</f>
        <v>2600</v>
      </c>
      <c r="O134" s="18" t="n">
        <f aca="false">M134-N134</f>
        <v>2471.6</v>
      </c>
      <c r="P134" s="18" t="n">
        <f aca="false">M134*IFERROR(INDEX(Calculations!$F$6:$F$11,MATCH(I134,Calculations!$E$6:$E$11,0)),0.1)</f>
        <v>507.16</v>
      </c>
      <c r="Q134" s="18" t="n">
        <f aca="false">O134-P134</f>
        <v>1964.44</v>
      </c>
      <c r="R134" s="14" t="s">
        <v>130</v>
      </c>
      <c r="S134" s="14" t="s">
        <v>125</v>
      </c>
    </row>
    <row r="135" customFormat="false" ht="15" hidden="false" customHeight="false" outlineLevel="0" collapsed="false">
      <c r="A135" s="14" t="s">
        <v>489</v>
      </c>
      <c r="B135" s="15" t="n">
        <v>45958</v>
      </c>
      <c r="C135" s="14" t="s">
        <v>490</v>
      </c>
      <c r="D135" s="14" t="s">
        <v>491</v>
      </c>
      <c r="E135" s="14" t="s">
        <v>121</v>
      </c>
      <c r="F135" s="14" t="s">
        <v>129</v>
      </c>
      <c r="G135" s="14" t="s">
        <v>170</v>
      </c>
      <c r="H135" s="14" t="s">
        <v>71</v>
      </c>
      <c r="I135" s="14" t="str">
        <f aca="false">IFERROR(INDEX(Calculations!$B$6:$B$27,MATCH(H135,Calculations!$A$6:$A$27,0)),"Unknown")</f>
        <v>Smart Home</v>
      </c>
      <c r="J135" s="14" t="n">
        <v>4</v>
      </c>
      <c r="K135" s="16" t="n">
        <v>912.64</v>
      </c>
      <c r="L135" s="17" t="n">
        <v>0.05</v>
      </c>
      <c r="M135" s="18" t="n">
        <f aca="false">J135*K135*(1-L135)</f>
        <v>3468.032</v>
      </c>
      <c r="N135" s="18" t="n">
        <f aca="false">J135*IFERROR(INDEX(Calculations!$C$6:$C$27,MATCH(H135,Calculations!$A$6:$A$27,0)),0)</f>
        <v>1800</v>
      </c>
      <c r="O135" s="18" t="n">
        <f aca="false">M135-N135</f>
        <v>1668.032</v>
      </c>
      <c r="P135" s="18" t="n">
        <f aca="false">M135*IFERROR(INDEX(Calculations!$F$6:$F$11,MATCH(I135,Calculations!$E$6:$E$11,0)),0.1)</f>
        <v>381.48352</v>
      </c>
      <c r="Q135" s="18" t="n">
        <f aca="false">O135-P135</f>
        <v>1286.54848</v>
      </c>
      <c r="R135" s="14" t="s">
        <v>243</v>
      </c>
      <c r="S135" s="14" t="s">
        <v>125</v>
      </c>
    </row>
    <row r="136" customFormat="false" ht="15" hidden="false" customHeight="false" outlineLevel="0" collapsed="false">
      <c r="A136" s="14" t="s">
        <v>492</v>
      </c>
      <c r="B136" s="15" t="n">
        <v>45958</v>
      </c>
      <c r="C136" s="14" t="s">
        <v>458</v>
      </c>
      <c r="D136" s="14" t="s">
        <v>459</v>
      </c>
      <c r="E136" s="14" t="s">
        <v>156</v>
      </c>
      <c r="F136" s="14" t="s">
        <v>157</v>
      </c>
      <c r="G136" s="14" t="s">
        <v>209</v>
      </c>
      <c r="H136" s="14" t="s">
        <v>63</v>
      </c>
      <c r="I136" s="14" t="str">
        <f aca="false">IFERROR(INDEX(Calculations!$B$6:$B$27,MATCH(H136,Calculations!$A$6:$A$27,0)),"Unknown")</f>
        <v>Mobile Accessories</v>
      </c>
      <c r="J136" s="14" t="n">
        <v>3</v>
      </c>
      <c r="K136" s="16" t="n">
        <v>354.92</v>
      </c>
      <c r="L136" s="17" t="n">
        <v>0.15</v>
      </c>
      <c r="M136" s="18" t="n">
        <f aca="false">J136*K136*(1-L136)</f>
        <v>905.046</v>
      </c>
      <c r="N136" s="18" t="n">
        <f aca="false">J136*IFERROR(INDEX(Calculations!$C$6:$C$27,MATCH(H136,Calculations!$A$6:$A$27,0)),0)</f>
        <v>450</v>
      </c>
      <c r="O136" s="18" t="n">
        <f aca="false">M136-N136</f>
        <v>455.046</v>
      </c>
      <c r="P136" s="18" t="n">
        <f aca="false">M136*IFERROR(INDEX(Calculations!$F$6:$F$11,MATCH(I136,Calculations!$E$6:$E$11,0)),0.1)</f>
        <v>108.60552</v>
      </c>
      <c r="Q136" s="18" t="n">
        <f aca="false">O136-P136</f>
        <v>346.44048</v>
      </c>
      <c r="R136" s="14" t="s">
        <v>130</v>
      </c>
      <c r="S136" s="14" t="s">
        <v>125</v>
      </c>
    </row>
    <row r="137" customFormat="false" ht="15" hidden="false" customHeight="false" outlineLevel="0" collapsed="false">
      <c r="A137" s="14" t="s">
        <v>493</v>
      </c>
      <c r="B137" s="15" t="n">
        <v>45959</v>
      </c>
      <c r="C137" s="14" t="s">
        <v>358</v>
      </c>
      <c r="D137" s="14" t="s">
        <v>359</v>
      </c>
      <c r="E137" s="14" t="s">
        <v>139</v>
      </c>
      <c r="F137" s="14" t="s">
        <v>152</v>
      </c>
      <c r="G137" s="14" t="s">
        <v>147</v>
      </c>
      <c r="H137" s="14" t="s">
        <v>69</v>
      </c>
      <c r="I137" s="14" t="str">
        <f aca="false">IFERROR(INDEX(Calculations!$B$6:$B$27,MATCH(H137,Calculations!$A$6:$A$27,0)),"Unknown")</f>
        <v>Smart Home</v>
      </c>
      <c r="J137" s="14" t="n">
        <v>1</v>
      </c>
      <c r="K137" s="16" t="n">
        <v>801.52</v>
      </c>
      <c r="L137" s="17" t="n">
        <v>0.2</v>
      </c>
      <c r="M137" s="18" t="n">
        <f aca="false">J137*K137*(1-L137)</f>
        <v>641.216</v>
      </c>
      <c r="N137" s="18" t="n">
        <f aca="false">J137*IFERROR(INDEX(Calculations!$C$6:$C$27,MATCH(H137,Calculations!$A$6:$A$27,0)),0)</f>
        <v>350</v>
      </c>
      <c r="O137" s="18" t="n">
        <f aca="false">M137-N137</f>
        <v>291.216</v>
      </c>
      <c r="P137" s="18" t="n">
        <f aca="false">M137*IFERROR(INDEX(Calculations!$F$6:$F$11,MATCH(I137,Calculations!$E$6:$E$11,0)),0.1)</f>
        <v>70.53376</v>
      </c>
      <c r="Q137" s="18" t="n">
        <f aca="false">O137-P137</f>
        <v>220.68224</v>
      </c>
      <c r="R137" s="14" t="s">
        <v>124</v>
      </c>
      <c r="S137" s="14" t="s">
        <v>205</v>
      </c>
    </row>
    <row r="138" customFormat="false" ht="15" hidden="false" customHeight="false" outlineLevel="0" collapsed="false">
      <c r="A138" s="14" t="s">
        <v>494</v>
      </c>
      <c r="B138" s="15" t="n">
        <v>45959</v>
      </c>
      <c r="C138" s="14" t="s">
        <v>495</v>
      </c>
      <c r="D138" s="14" t="s">
        <v>496</v>
      </c>
      <c r="E138" s="14" t="s">
        <v>145</v>
      </c>
      <c r="F138" s="14" t="s">
        <v>174</v>
      </c>
      <c r="G138" s="14" t="s">
        <v>141</v>
      </c>
      <c r="H138" s="14" t="s">
        <v>76</v>
      </c>
      <c r="I138" s="14" t="str">
        <f aca="false">IFERROR(INDEX(Calculations!$B$6:$B$27,MATCH(H138,Calculations!$A$6:$A$27,0)),"Unknown")</f>
        <v>Cameras</v>
      </c>
      <c r="J138" s="14" t="n">
        <v>2</v>
      </c>
      <c r="K138" s="16" t="n">
        <v>7271.85</v>
      </c>
      <c r="L138" s="17" t="n">
        <v>0</v>
      </c>
      <c r="M138" s="18" t="n">
        <f aca="false">J138*K138*(1-L138)</f>
        <v>14543.7</v>
      </c>
      <c r="N138" s="18" t="n">
        <f aca="false">J138*IFERROR(INDEX(Calculations!$C$6:$C$27,MATCH(H138,Calculations!$A$6:$A$27,0)),0)</f>
        <v>8400</v>
      </c>
      <c r="O138" s="18" t="n">
        <f aca="false">M138-N138</f>
        <v>6143.7</v>
      </c>
      <c r="P138" s="18" t="n">
        <f aca="false">M138*IFERROR(INDEX(Calculations!$F$6:$F$11,MATCH(I138,Calculations!$E$6:$E$11,0)),0.1)</f>
        <v>1090.7775</v>
      </c>
      <c r="Q138" s="18" t="n">
        <f aca="false">O138-P138</f>
        <v>5052.9225</v>
      </c>
      <c r="R138" s="14" t="s">
        <v>130</v>
      </c>
      <c r="S138" s="14" t="s">
        <v>210</v>
      </c>
    </row>
    <row r="139" customFormat="false" ht="15" hidden="false" customHeight="false" outlineLevel="0" collapsed="false">
      <c r="A139" s="14" t="s">
        <v>497</v>
      </c>
      <c r="B139" s="15" t="n">
        <v>45959</v>
      </c>
      <c r="C139" s="14" t="s">
        <v>368</v>
      </c>
      <c r="D139" s="14" t="s">
        <v>369</v>
      </c>
      <c r="E139" s="14" t="s">
        <v>121</v>
      </c>
      <c r="F139" s="14" t="s">
        <v>129</v>
      </c>
      <c r="G139" s="14" t="s">
        <v>175</v>
      </c>
      <c r="H139" s="14" t="s">
        <v>56</v>
      </c>
      <c r="I139" s="14" t="str">
        <f aca="false">IFERROR(INDEX(Calculations!$B$6:$B$27,MATCH(H139,Calculations!$A$6:$A$27,0)),"Unknown")</f>
        <v>Audio</v>
      </c>
      <c r="J139" s="14" t="n">
        <v>4</v>
      </c>
      <c r="K139" s="16" t="n">
        <v>888.95</v>
      </c>
      <c r="L139" s="17" t="n">
        <v>0.1</v>
      </c>
      <c r="M139" s="18" t="n">
        <f aca="false">J139*K139*(1-L139)</f>
        <v>3200.22</v>
      </c>
      <c r="N139" s="18" t="n">
        <f aca="false">J139*IFERROR(INDEX(Calculations!$C$6:$C$27,MATCH(H139,Calculations!$A$6:$A$27,0)),0)</f>
        <v>1800</v>
      </c>
      <c r="O139" s="18" t="n">
        <f aca="false">M139-N139</f>
        <v>1400.22</v>
      </c>
      <c r="P139" s="18" t="n">
        <f aca="false">M139*IFERROR(INDEX(Calculations!$F$6:$F$11,MATCH(I139,Calculations!$E$6:$E$11,0)),0.1)</f>
        <v>320.022</v>
      </c>
      <c r="Q139" s="18" t="n">
        <f aca="false">O139-P139</f>
        <v>1080.198</v>
      </c>
      <c r="R139" s="14" t="s">
        <v>124</v>
      </c>
      <c r="S139" s="14" t="s">
        <v>125</v>
      </c>
    </row>
    <row r="140" customFormat="false" ht="15" hidden="false" customHeight="false" outlineLevel="0" collapsed="false">
      <c r="A140" s="14" t="s">
        <v>498</v>
      </c>
      <c r="B140" s="15" t="n">
        <v>45960</v>
      </c>
      <c r="C140" s="14" t="s">
        <v>499</v>
      </c>
      <c r="D140" s="14" t="s">
        <v>500</v>
      </c>
      <c r="E140" s="14" t="s">
        <v>194</v>
      </c>
      <c r="F140" s="14" t="s">
        <v>195</v>
      </c>
      <c r="G140" s="14" t="s">
        <v>209</v>
      </c>
      <c r="H140" s="14" t="s">
        <v>70</v>
      </c>
      <c r="I140" s="14" t="str">
        <f aca="false">IFERROR(INDEX(Calculations!$B$6:$B$27,MATCH(H140,Calculations!$A$6:$A$27,0)),"Unknown")</f>
        <v>Smart Home</v>
      </c>
      <c r="J140" s="14" t="n">
        <v>1</v>
      </c>
      <c r="K140" s="16" t="n">
        <v>3894.64</v>
      </c>
      <c r="L140" s="17" t="n">
        <v>0.05</v>
      </c>
      <c r="M140" s="18" t="n">
        <f aca="false">J140*K140*(1-L140)</f>
        <v>3699.908</v>
      </c>
      <c r="N140" s="18" t="n">
        <f aca="false">J140*IFERROR(INDEX(Calculations!$C$6:$C$27,MATCH(H140,Calculations!$A$6:$A$27,0)),0)</f>
        <v>2200</v>
      </c>
      <c r="O140" s="18" t="n">
        <f aca="false">M140-N140</f>
        <v>1499.908</v>
      </c>
      <c r="P140" s="18" t="n">
        <f aca="false">M140*IFERROR(INDEX(Calculations!$F$6:$F$11,MATCH(I140,Calculations!$E$6:$E$11,0)),0.1)</f>
        <v>406.98988</v>
      </c>
      <c r="Q140" s="18" t="n">
        <f aca="false">O140-P140</f>
        <v>1092.91812</v>
      </c>
      <c r="R140" s="14" t="s">
        <v>124</v>
      </c>
      <c r="S140" s="14" t="s">
        <v>125</v>
      </c>
    </row>
    <row r="141" customFormat="false" ht="15" hidden="false" customHeight="false" outlineLevel="0" collapsed="false">
      <c r="A141" s="14" t="s">
        <v>501</v>
      </c>
      <c r="B141" s="15" t="n">
        <v>45960</v>
      </c>
      <c r="C141" s="14" t="s">
        <v>189</v>
      </c>
      <c r="D141" s="14" t="s">
        <v>190</v>
      </c>
      <c r="E141" s="14" t="s">
        <v>156</v>
      </c>
      <c r="F141" s="14" t="s">
        <v>169</v>
      </c>
      <c r="G141" s="14" t="s">
        <v>170</v>
      </c>
      <c r="H141" s="14" t="s">
        <v>56</v>
      </c>
      <c r="I141" s="14" t="str">
        <f aca="false">IFERROR(INDEX(Calculations!$B$6:$B$27,MATCH(H141,Calculations!$A$6:$A$27,0)),"Unknown")</f>
        <v>Audio</v>
      </c>
      <c r="J141" s="14" t="n">
        <v>4</v>
      </c>
      <c r="K141" s="16" t="n">
        <v>906.18</v>
      </c>
      <c r="L141" s="17" t="n">
        <v>0.15</v>
      </c>
      <c r="M141" s="18" t="n">
        <f aca="false">J141*K141*(1-L141)</f>
        <v>3081.012</v>
      </c>
      <c r="N141" s="18" t="n">
        <f aca="false">J141*IFERROR(INDEX(Calculations!$C$6:$C$27,MATCH(H141,Calculations!$A$6:$A$27,0)),0)</f>
        <v>1800</v>
      </c>
      <c r="O141" s="18" t="n">
        <f aca="false">M141-N141</f>
        <v>1281.012</v>
      </c>
      <c r="P141" s="18" t="n">
        <f aca="false">M141*IFERROR(INDEX(Calculations!$F$6:$F$11,MATCH(I141,Calculations!$E$6:$E$11,0)),0.1)</f>
        <v>308.1012</v>
      </c>
      <c r="Q141" s="18" t="n">
        <f aca="false">O141-P141</f>
        <v>972.9108</v>
      </c>
      <c r="R141" s="14" t="s">
        <v>124</v>
      </c>
      <c r="S141" s="14" t="s">
        <v>125</v>
      </c>
    </row>
    <row r="142" customFormat="false" ht="15" hidden="false" customHeight="false" outlineLevel="0" collapsed="false">
      <c r="A142" s="14" t="s">
        <v>502</v>
      </c>
      <c r="B142" s="15" t="n">
        <v>45960</v>
      </c>
      <c r="C142" s="14" t="s">
        <v>503</v>
      </c>
      <c r="D142" s="14" t="s">
        <v>504</v>
      </c>
      <c r="E142" s="14" t="s">
        <v>145</v>
      </c>
      <c r="F142" s="14" t="s">
        <v>174</v>
      </c>
      <c r="G142" s="14" t="s">
        <v>170</v>
      </c>
      <c r="H142" s="14" t="s">
        <v>73</v>
      </c>
      <c r="I142" s="14" t="str">
        <f aca="false">IFERROR(INDEX(Calculations!$B$6:$B$27,MATCH(H142,Calculations!$A$6:$A$27,0)),"Unknown")</f>
        <v>Wearables</v>
      </c>
      <c r="J142" s="14" t="n">
        <v>3</v>
      </c>
      <c r="K142" s="16" t="n">
        <v>2020.73</v>
      </c>
      <c r="L142" s="17" t="n">
        <v>0.05</v>
      </c>
      <c r="M142" s="18" t="n">
        <f aca="false">J142*K142*(1-L142)</f>
        <v>5759.0805</v>
      </c>
      <c r="N142" s="18" t="n">
        <f aca="false">J142*IFERROR(INDEX(Calculations!$C$6:$C$27,MATCH(H142,Calculations!$A$6:$A$27,0)),0)</f>
        <v>3300</v>
      </c>
      <c r="O142" s="18" t="n">
        <f aca="false">M142-N142</f>
        <v>2459.0805</v>
      </c>
      <c r="P142" s="18" t="n">
        <f aca="false">M142*IFERROR(INDEX(Calculations!$F$6:$F$11,MATCH(I142,Calculations!$E$6:$E$11,0)),0.1)</f>
        <v>518.317245</v>
      </c>
      <c r="Q142" s="18" t="n">
        <f aca="false">O142-P142</f>
        <v>1940.763255</v>
      </c>
      <c r="R142" s="14" t="s">
        <v>124</v>
      </c>
      <c r="S142" s="14" t="s">
        <v>125</v>
      </c>
    </row>
    <row r="143" customFormat="false" ht="15" hidden="false" customHeight="false" outlineLevel="0" collapsed="false">
      <c r="A143" s="14" t="s">
        <v>505</v>
      </c>
      <c r="B143" s="15" t="n">
        <v>45961</v>
      </c>
      <c r="C143" s="14" t="s">
        <v>495</v>
      </c>
      <c r="D143" s="14" t="s">
        <v>496</v>
      </c>
      <c r="E143" s="14" t="s">
        <v>145</v>
      </c>
      <c r="F143" s="14" t="s">
        <v>174</v>
      </c>
      <c r="G143" s="14" t="s">
        <v>141</v>
      </c>
      <c r="H143" s="14" t="s">
        <v>76</v>
      </c>
      <c r="I143" s="14" t="str">
        <f aca="false">IFERROR(INDEX(Calculations!$B$6:$B$27,MATCH(H143,Calculations!$A$6:$A$27,0)),"Unknown")</f>
        <v>Cameras</v>
      </c>
      <c r="J143" s="14" t="n">
        <v>3</v>
      </c>
      <c r="K143" s="16" t="n">
        <v>7655.44</v>
      </c>
      <c r="L143" s="17" t="n">
        <v>0.05</v>
      </c>
      <c r="M143" s="18" t="n">
        <f aca="false">J143*K143*(1-L143)</f>
        <v>21818.004</v>
      </c>
      <c r="N143" s="18" t="n">
        <f aca="false">J143*IFERROR(INDEX(Calculations!$C$6:$C$27,MATCH(H143,Calculations!$A$6:$A$27,0)),0)</f>
        <v>12600</v>
      </c>
      <c r="O143" s="18" t="n">
        <f aca="false">M143-N143</f>
        <v>9218.004</v>
      </c>
      <c r="P143" s="18" t="n">
        <f aca="false">M143*IFERROR(INDEX(Calculations!$F$6:$F$11,MATCH(I143,Calculations!$E$6:$E$11,0)),0.1)</f>
        <v>1636.3503</v>
      </c>
      <c r="Q143" s="18" t="n">
        <f aca="false">O143-P143</f>
        <v>7581.6537</v>
      </c>
      <c r="R143" s="14" t="s">
        <v>135</v>
      </c>
      <c r="S143" s="14" t="s">
        <v>148</v>
      </c>
    </row>
    <row r="144" customFormat="false" ht="15" hidden="false" customHeight="false" outlineLevel="0" collapsed="false">
      <c r="A144" s="14" t="s">
        <v>506</v>
      </c>
      <c r="B144" s="15" t="n">
        <v>45961</v>
      </c>
      <c r="C144" s="14" t="s">
        <v>507</v>
      </c>
      <c r="D144" s="14" t="s">
        <v>508</v>
      </c>
      <c r="E144" s="14" t="s">
        <v>145</v>
      </c>
      <c r="F144" s="14" t="s">
        <v>146</v>
      </c>
      <c r="G144" s="14" t="s">
        <v>175</v>
      </c>
      <c r="H144" s="14" t="s">
        <v>58</v>
      </c>
      <c r="I144" s="14" t="str">
        <f aca="false">IFERROR(INDEX(Calculations!$B$6:$B$27,MATCH(H144,Calculations!$A$6:$A$27,0)),"Unknown")</f>
        <v>Mobile Accessories</v>
      </c>
      <c r="J144" s="14" t="n">
        <v>2</v>
      </c>
      <c r="K144" s="16" t="n">
        <v>491.4</v>
      </c>
      <c r="L144" s="17" t="n">
        <v>0.1</v>
      </c>
      <c r="M144" s="18" t="n">
        <f aca="false">J144*K144*(1-L144)</f>
        <v>884.52</v>
      </c>
      <c r="N144" s="18" t="n">
        <f aca="false">J144*IFERROR(INDEX(Calculations!$C$6:$C$27,MATCH(H144,Calculations!$A$6:$A$27,0)),0)</f>
        <v>440</v>
      </c>
      <c r="O144" s="18" t="n">
        <f aca="false">M144-N144</f>
        <v>444.52</v>
      </c>
      <c r="P144" s="18" t="n">
        <f aca="false">M144*IFERROR(INDEX(Calculations!$F$6:$F$11,MATCH(I144,Calculations!$E$6:$E$11,0)),0.1)</f>
        <v>106.1424</v>
      </c>
      <c r="Q144" s="18" t="n">
        <f aca="false">O144-P144</f>
        <v>338.3776</v>
      </c>
      <c r="R144" s="14" t="s">
        <v>124</v>
      </c>
      <c r="S144" s="14" t="s">
        <v>125</v>
      </c>
    </row>
    <row r="145" customFormat="false" ht="15" hidden="false" customHeight="false" outlineLevel="0" collapsed="false">
      <c r="A145" s="14" t="s">
        <v>509</v>
      </c>
      <c r="B145" s="15" t="n">
        <v>45962</v>
      </c>
      <c r="C145" s="14" t="s">
        <v>352</v>
      </c>
      <c r="D145" s="14" t="s">
        <v>353</v>
      </c>
      <c r="E145" s="14" t="s">
        <v>145</v>
      </c>
      <c r="F145" s="14" t="s">
        <v>174</v>
      </c>
      <c r="G145" s="14" t="s">
        <v>161</v>
      </c>
      <c r="H145" s="14" t="s">
        <v>73</v>
      </c>
      <c r="I145" s="14" t="str">
        <f aca="false">IFERROR(INDEX(Calculations!$B$6:$B$27,MATCH(H145,Calculations!$A$6:$A$27,0)),"Unknown")</f>
        <v>Wearables</v>
      </c>
      <c r="J145" s="14" t="n">
        <v>1</v>
      </c>
      <c r="K145" s="16" t="n">
        <v>1939.5</v>
      </c>
      <c r="L145" s="17" t="n">
        <v>0</v>
      </c>
      <c r="M145" s="18" t="n">
        <f aca="false">J145*K145*(1-L145)</f>
        <v>1939.5</v>
      </c>
      <c r="N145" s="18" t="n">
        <f aca="false">J145*IFERROR(INDEX(Calculations!$C$6:$C$27,MATCH(H145,Calculations!$A$6:$A$27,0)),0)</f>
        <v>1100</v>
      </c>
      <c r="O145" s="18" t="n">
        <f aca="false">M145-N145</f>
        <v>839.5</v>
      </c>
      <c r="P145" s="18" t="n">
        <f aca="false">M145*IFERROR(INDEX(Calculations!$F$6:$F$11,MATCH(I145,Calculations!$E$6:$E$11,0)),0.1)</f>
        <v>174.555</v>
      </c>
      <c r="Q145" s="18" t="n">
        <f aca="false">O145-P145</f>
        <v>664.945</v>
      </c>
      <c r="R145" s="14" t="s">
        <v>165</v>
      </c>
      <c r="S145" s="14" t="s">
        <v>125</v>
      </c>
    </row>
    <row r="146" customFormat="false" ht="15" hidden="false" customHeight="false" outlineLevel="0" collapsed="false">
      <c r="A146" s="14" t="s">
        <v>510</v>
      </c>
      <c r="B146" s="15" t="n">
        <v>45965</v>
      </c>
      <c r="C146" s="14" t="s">
        <v>511</v>
      </c>
      <c r="D146" s="14" t="s">
        <v>512</v>
      </c>
      <c r="E146" s="14" t="s">
        <v>194</v>
      </c>
      <c r="F146" s="14" t="s">
        <v>195</v>
      </c>
      <c r="G146" s="14" t="s">
        <v>170</v>
      </c>
      <c r="H146" s="14" t="s">
        <v>50</v>
      </c>
      <c r="I146" s="14" t="str">
        <f aca="false">IFERROR(INDEX(Calculations!$B$6:$B$27,MATCH(H146,Calculations!$A$6:$A$27,0)),"Unknown")</f>
        <v>Audio</v>
      </c>
      <c r="J146" s="14" t="n">
        <v>2</v>
      </c>
      <c r="K146" s="16" t="n">
        <v>1341.98</v>
      </c>
      <c r="L146" s="17" t="n">
        <v>0</v>
      </c>
      <c r="M146" s="18" t="n">
        <f aca="false">J146*K146*(1-L146)</f>
        <v>2683.96</v>
      </c>
      <c r="N146" s="18" t="n">
        <f aca="false">J146*IFERROR(INDEX(Calculations!$C$6:$C$27,MATCH(H146,Calculations!$A$6:$A$27,0)),0)</f>
        <v>1300</v>
      </c>
      <c r="O146" s="18" t="n">
        <f aca="false">M146-N146</f>
        <v>1383.96</v>
      </c>
      <c r="P146" s="18" t="n">
        <f aca="false">M146*IFERROR(INDEX(Calculations!$F$6:$F$11,MATCH(I146,Calculations!$E$6:$E$11,0)),0.1)</f>
        <v>268.396</v>
      </c>
      <c r="Q146" s="18" t="n">
        <f aca="false">O146-P146</f>
        <v>1115.564</v>
      </c>
      <c r="R146" s="14" t="s">
        <v>165</v>
      </c>
      <c r="S146" s="14" t="s">
        <v>125</v>
      </c>
    </row>
    <row r="147" customFormat="false" ht="15" hidden="false" customHeight="false" outlineLevel="0" collapsed="false">
      <c r="A147" s="14" t="s">
        <v>513</v>
      </c>
      <c r="B147" s="15" t="n">
        <v>45965</v>
      </c>
      <c r="C147" s="14" t="s">
        <v>203</v>
      </c>
      <c r="D147" s="14" t="s">
        <v>204</v>
      </c>
      <c r="E147" s="14" t="s">
        <v>194</v>
      </c>
      <c r="F147" s="14" t="s">
        <v>195</v>
      </c>
      <c r="G147" s="14" t="s">
        <v>123</v>
      </c>
      <c r="H147" s="14" t="s">
        <v>60</v>
      </c>
      <c r="I147" s="14" t="str">
        <f aca="false">IFERROR(INDEX(Calculations!$B$6:$B$27,MATCH(H147,Calculations!$A$6:$A$27,0)),"Unknown")</f>
        <v>Mobile Accessories</v>
      </c>
      <c r="J147" s="14" t="n">
        <v>2</v>
      </c>
      <c r="K147" s="16" t="n">
        <v>253.73</v>
      </c>
      <c r="L147" s="17" t="n">
        <v>0.15</v>
      </c>
      <c r="M147" s="18" t="n">
        <f aca="false">J147*K147*(1-L147)</f>
        <v>431.341</v>
      </c>
      <c r="N147" s="18" t="n">
        <f aca="false">J147*IFERROR(INDEX(Calculations!$C$6:$C$27,MATCH(H147,Calculations!$A$6:$A$27,0)),0)</f>
        <v>180</v>
      </c>
      <c r="O147" s="18" t="n">
        <f aca="false">M147-N147</f>
        <v>251.341</v>
      </c>
      <c r="P147" s="18" t="n">
        <f aca="false">M147*IFERROR(INDEX(Calculations!$F$6:$F$11,MATCH(I147,Calculations!$E$6:$E$11,0)),0.1)</f>
        <v>51.76092</v>
      </c>
      <c r="Q147" s="18" t="n">
        <f aca="false">O147-P147</f>
        <v>199.58008</v>
      </c>
      <c r="R147" s="14" t="s">
        <v>124</v>
      </c>
      <c r="S147" s="14" t="s">
        <v>125</v>
      </c>
    </row>
    <row r="148" customFormat="false" ht="15" hidden="false" customHeight="false" outlineLevel="0" collapsed="false">
      <c r="A148" s="14" t="s">
        <v>514</v>
      </c>
      <c r="B148" s="15" t="n">
        <v>45967</v>
      </c>
      <c r="C148" s="14" t="s">
        <v>515</v>
      </c>
      <c r="D148" s="14" t="s">
        <v>516</v>
      </c>
      <c r="E148" s="14" t="s">
        <v>156</v>
      </c>
      <c r="F148" s="14" t="s">
        <v>157</v>
      </c>
      <c r="G148" s="14" t="s">
        <v>161</v>
      </c>
      <c r="H148" s="14" t="s">
        <v>76</v>
      </c>
      <c r="I148" s="14" t="str">
        <f aca="false">IFERROR(INDEX(Calculations!$B$6:$B$27,MATCH(H148,Calculations!$A$6:$A$27,0)),"Unknown")</f>
        <v>Cameras</v>
      </c>
      <c r="J148" s="14" t="n">
        <v>3</v>
      </c>
      <c r="K148" s="16" t="n">
        <v>7631.54</v>
      </c>
      <c r="L148" s="17" t="n">
        <v>0.1</v>
      </c>
      <c r="M148" s="18" t="n">
        <f aca="false">J148*K148*(1-L148)</f>
        <v>20605.158</v>
      </c>
      <c r="N148" s="18" t="n">
        <f aca="false">J148*IFERROR(INDEX(Calculations!$C$6:$C$27,MATCH(H148,Calculations!$A$6:$A$27,0)),0)</f>
        <v>12600</v>
      </c>
      <c r="O148" s="18" t="n">
        <f aca="false">M148-N148</f>
        <v>8005.158</v>
      </c>
      <c r="P148" s="18" t="n">
        <f aca="false">M148*IFERROR(INDEX(Calculations!$F$6:$F$11,MATCH(I148,Calculations!$E$6:$E$11,0)),0.1)</f>
        <v>1545.38685</v>
      </c>
      <c r="Q148" s="18" t="n">
        <f aca="false">O148-P148</f>
        <v>6459.77115</v>
      </c>
      <c r="R148" s="14" t="s">
        <v>165</v>
      </c>
      <c r="S148" s="14" t="s">
        <v>125</v>
      </c>
    </row>
    <row r="149" customFormat="false" ht="15" hidden="false" customHeight="false" outlineLevel="0" collapsed="false">
      <c r="A149" s="14" t="s">
        <v>517</v>
      </c>
      <c r="B149" s="15" t="n">
        <v>45967</v>
      </c>
      <c r="C149" s="14" t="s">
        <v>132</v>
      </c>
      <c r="D149" s="14" t="s">
        <v>133</v>
      </c>
      <c r="E149" s="14" t="s">
        <v>121</v>
      </c>
      <c r="F149" s="14" t="s">
        <v>129</v>
      </c>
      <c r="G149" s="14" t="s">
        <v>175</v>
      </c>
      <c r="H149" s="14" t="s">
        <v>72</v>
      </c>
      <c r="I149" s="14" t="str">
        <f aca="false">IFERROR(INDEX(Calculations!$B$6:$B$27,MATCH(H149,Calculations!$A$6:$A$27,0)),"Unknown")</f>
        <v>Smart Home</v>
      </c>
      <c r="J149" s="14" t="n">
        <v>3</v>
      </c>
      <c r="K149" s="16" t="n">
        <v>4544.6</v>
      </c>
      <c r="L149" s="17" t="n">
        <v>0</v>
      </c>
      <c r="M149" s="18" t="n">
        <f aca="false">J149*K149*(1-L149)</f>
        <v>13633.8</v>
      </c>
      <c r="N149" s="18" t="n">
        <f aca="false">J149*IFERROR(INDEX(Calculations!$C$6:$C$27,MATCH(H149,Calculations!$A$6:$A$27,0)),0)</f>
        <v>7800</v>
      </c>
      <c r="O149" s="18" t="n">
        <f aca="false">M149-N149</f>
        <v>5833.8</v>
      </c>
      <c r="P149" s="18" t="n">
        <f aca="false">M149*IFERROR(INDEX(Calculations!$F$6:$F$11,MATCH(I149,Calculations!$E$6:$E$11,0)),0.1)</f>
        <v>1499.718</v>
      </c>
      <c r="Q149" s="18" t="n">
        <f aca="false">O149-P149</f>
        <v>4334.082</v>
      </c>
      <c r="R149" s="14" t="s">
        <v>135</v>
      </c>
      <c r="S149" s="14" t="s">
        <v>125</v>
      </c>
    </row>
    <row r="150" customFormat="false" ht="15" hidden="false" customHeight="false" outlineLevel="0" collapsed="false">
      <c r="A150" s="14" t="s">
        <v>518</v>
      </c>
      <c r="B150" s="15" t="n">
        <v>45968</v>
      </c>
      <c r="C150" s="14" t="s">
        <v>177</v>
      </c>
      <c r="D150" s="14" t="s">
        <v>178</v>
      </c>
      <c r="E150" s="14" t="s">
        <v>121</v>
      </c>
      <c r="F150" s="14" t="s">
        <v>129</v>
      </c>
      <c r="G150" s="14" t="s">
        <v>147</v>
      </c>
      <c r="H150" s="14" t="s">
        <v>71</v>
      </c>
      <c r="I150" s="14" t="str">
        <f aca="false">IFERROR(INDEX(Calculations!$B$6:$B$27,MATCH(H150,Calculations!$A$6:$A$27,0)),"Unknown")</f>
        <v>Smart Home</v>
      </c>
      <c r="J150" s="14" t="n">
        <v>6</v>
      </c>
      <c r="K150" s="16" t="n">
        <v>874.18</v>
      </c>
      <c r="L150" s="17" t="n">
        <v>0</v>
      </c>
      <c r="M150" s="18" t="n">
        <f aca="false">J150*K150*(1-L150)</f>
        <v>5245.08</v>
      </c>
      <c r="N150" s="18" t="n">
        <f aca="false">J150*IFERROR(INDEX(Calculations!$C$6:$C$27,MATCH(H150,Calculations!$A$6:$A$27,0)),0)</f>
        <v>2700</v>
      </c>
      <c r="O150" s="18" t="n">
        <f aca="false">M150-N150</f>
        <v>2545.08</v>
      </c>
      <c r="P150" s="18" t="n">
        <f aca="false">M150*IFERROR(INDEX(Calculations!$F$6:$F$11,MATCH(I150,Calculations!$E$6:$E$11,0)),0.1)</f>
        <v>576.9588</v>
      </c>
      <c r="Q150" s="18" t="n">
        <f aca="false">O150-P150</f>
        <v>1968.1212</v>
      </c>
      <c r="R150" s="14" t="s">
        <v>165</v>
      </c>
      <c r="S150" s="14" t="s">
        <v>125</v>
      </c>
    </row>
    <row r="151" customFormat="false" ht="15" hidden="false" customHeight="false" outlineLevel="0" collapsed="false">
      <c r="A151" s="14" t="s">
        <v>519</v>
      </c>
      <c r="B151" s="15" t="n">
        <v>45968</v>
      </c>
      <c r="C151" s="14" t="s">
        <v>520</v>
      </c>
      <c r="D151" s="14" t="s">
        <v>521</v>
      </c>
      <c r="E151" s="14" t="s">
        <v>139</v>
      </c>
      <c r="F151" s="14" t="s">
        <v>152</v>
      </c>
      <c r="G151" s="14" t="s">
        <v>161</v>
      </c>
      <c r="H151" s="14" t="s">
        <v>60</v>
      </c>
      <c r="I151" s="14" t="str">
        <f aca="false">IFERROR(INDEX(Calculations!$B$6:$B$27,MATCH(H151,Calculations!$A$6:$A$27,0)),"Unknown")</f>
        <v>Mobile Accessories</v>
      </c>
      <c r="J151" s="14" t="n">
        <v>4</v>
      </c>
      <c r="K151" s="16" t="n">
        <v>255.54</v>
      </c>
      <c r="L151" s="17" t="n">
        <v>0</v>
      </c>
      <c r="M151" s="18" t="n">
        <f aca="false">J151*K151*(1-L151)</f>
        <v>1022.16</v>
      </c>
      <c r="N151" s="18" t="n">
        <f aca="false">J151*IFERROR(INDEX(Calculations!$C$6:$C$27,MATCH(H151,Calculations!$A$6:$A$27,0)),0)</f>
        <v>360</v>
      </c>
      <c r="O151" s="18" t="n">
        <f aca="false">M151-N151</f>
        <v>662.16</v>
      </c>
      <c r="P151" s="18" t="n">
        <f aca="false">M151*IFERROR(INDEX(Calculations!$F$6:$F$11,MATCH(I151,Calculations!$E$6:$E$11,0)),0.1)</f>
        <v>122.6592</v>
      </c>
      <c r="Q151" s="18" t="n">
        <f aca="false">O151-P151</f>
        <v>539.5008</v>
      </c>
      <c r="R151" s="14" t="s">
        <v>165</v>
      </c>
      <c r="S151" s="14" t="s">
        <v>125</v>
      </c>
    </row>
    <row r="152" customFormat="false" ht="15" hidden="false" customHeight="false" outlineLevel="0" collapsed="false">
      <c r="A152" s="14" t="s">
        <v>522</v>
      </c>
      <c r="B152" s="15" t="n">
        <v>45969</v>
      </c>
      <c r="C152" s="14" t="s">
        <v>495</v>
      </c>
      <c r="D152" s="14" t="s">
        <v>496</v>
      </c>
      <c r="E152" s="14" t="s">
        <v>145</v>
      </c>
      <c r="F152" s="14" t="s">
        <v>174</v>
      </c>
      <c r="G152" s="14" t="s">
        <v>175</v>
      </c>
      <c r="H152" s="14" t="s">
        <v>65</v>
      </c>
      <c r="I152" s="14" t="str">
        <f aca="false">IFERROR(INDEX(Calculations!$B$6:$B$27,MATCH(H152,Calculations!$A$6:$A$27,0)),"Unknown")</f>
        <v>Computer Peripherals</v>
      </c>
      <c r="J152" s="14" t="n">
        <v>1</v>
      </c>
      <c r="K152" s="16" t="n">
        <v>3190.01</v>
      </c>
      <c r="L152" s="17" t="n">
        <v>0.1</v>
      </c>
      <c r="M152" s="18" t="n">
        <f aca="false">J152*K152*(1-L152)</f>
        <v>2871.009</v>
      </c>
      <c r="N152" s="18" t="n">
        <f aca="false">J152*IFERROR(INDEX(Calculations!$C$6:$C$27,MATCH(H152,Calculations!$A$6:$A$27,0)),0)</f>
        <v>1600</v>
      </c>
      <c r="O152" s="18" t="n">
        <f aca="false">M152-N152</f>
        <v>1271.009</v>
      </c>
      <c r="P152" s="18" t="n">
        <f aca="false">M152*IFERROR(INDEX(Calculations!$F$6:$F$11,MATCH(I152,Calculations!$E$6:$E$11,0)),0.1)</f>
        <v>229.68072</v>
      </c>
      <c r="Q152" s="18" t="n">
        <f aca="false">O152-P152</f>
        <v>1041.32828</v>
      </c>
      <c r="R152" s="14" t="s">
        <v>135</v>
      </c>
      <c r="S152" s="14" t="s">
        <v>125</v>
      </c>
    </row>
    <row r="153" customFormat="false" ht="15" hidden="false" customHeight="false" outlineLevel="0" collapsed="false">
      <c r="A153" s="14" t="s">
        <v>523</v>
      </c>
      <c r="B153" s="15" t="n">
        <v>45971</v>
      </c>
      <c r="C153" s="14" t="s">
        <v>465</v>
      </c>
      <c r="D153" s="14" t="s">
        <v>466</v>
      </c>
      <c r="E153" s="14" t="s">
        <v>139</v>
      </c>
      <c r="F153" s="14" t="s">
        <v>152</v>
      </c>
      <c r="G153" s="14" t="s">
        <v>170</v>
      </c>
      <c r="H153" s="14" t="s">
        <v>73</v>
      </c>
      <c r="I153" s="14" t="str">
        <f aca="false">IFERROR(INDEX(Calculations!$B$6:$B$27,MATCH(H153,Calculations!$A$6:$A$27,0)),"Unknown")</f>
        <v>Wearables</v>
      </c>
      <c r="J153" s="14" t="n">
        <v>2</v>
      </c>
      <c r="K153" s="16" t="n">
        <v>2010.41</v>
      </c>
      <c r="L153" s="17" t="n">
        <v>0.05</v>
      </c>
      <c r="M153" s="18" t="n">
        <f aca="false">J153*K153*(1-L153)</f>
        <v>3819.779</v>
      </c>
      <c r="N153" s="18" t="n">
        <f aca="false">J153*IFERROR(INDEX(Calculations!$C$6:$C$27,MATCH(H153,Calculations!$A$6:$A$27,0)),0)</f>
        <v>2200</v>
      </c>
      <c r="O153" s="18" t="n">
        <f aca="false">M153-N153</f>
        <v>1619.779</v>
      </c>
      <c r="P153" s="18" t="n">
        <f aca="false">M153*IFERROR(INDEX(Calculations!$F$6:$F$11,MATCH(I153,Calculations!$E$6:$E$11,0)),0.1)</f>
        <v>343.78011</v>
      </c>
      <c r="Q153" s="18" t="n">
        <f aca="false">O153-P153</f>
        <v>1275.99889</v>
      </c>
      <c r="R153" s="14" t="s">
        <v>243</v>
      </c>
      <c r="S153" s="14" t="s">
        <v>125</v>
      </c>
    </row>
    <row r="154" customFormat="false" ht="15" hidden="false" customHeight="false" outlineLevel="0" collapsed="false">
      <c r="A154" s="14" t="s">
        <v>524</v>
      </c>
      <c r="B154" s="15" t="n">
        <v>45973</v>
      </c>
      <c r="C154" s="14" t="s">
        <v>525</v>
      </c>
      <c r="D154" s="14" t="s">
        <v>526</v>
      </c>
      <c r="E154" s="14" t="s">
        <v>139</v>
      </c>
      <c r="F154" s="14" t="s">
        <v>140</v>
      </c>
      <c r="G154" s="14" t="s">
        <v>161</v>
      </c>
      <c r="H154" s="14" t="s">
        <v>62</v>
      </c>
      <c r="I154" s="14" t="str">
        <f aca="false">IFERROR(INDEX(Calculations!$B$6:$B$27,MATCH(H154,Calculations!$A$6:$A$27,0)),"Unknown")</f>
        <v>Mobile Accessories</v>
      </c>
      <c r="J154" s="14" t="n">
        <v>5</v>
      </c>
      <c r="K154" s="16" t="n">
        <v>354.48</v>
      </c>
      <c r="L154" s="17" t="n">
        <v>0</v>
      </c>
      <c r="M154" s="18" t="n">
        <f aca="false">J154*K154*(1-L154)</f>
        <v>1772.4</v>
      </c>
      <c r="N154" s="18" t="n">
        <f aca="false">J154*IFERROR(INDEX(Calculations!$C$6:$C$27,MATCH(H154,Calculations!$A$6:$A$27,0)),0)</f>
        <v>650</v>
      </c>
      <c r="O154" s="18" t="n">
        <f aca="false">M154-N154</f>
        <v>1122.4</v>
      </c>
      <c r="P154" s="18" t="n">
        <f aca="false">M154*IFERROR(INDEX(Calculations!$F$6:$F$11,MATCH(I154,Calculations!$E$6:$E$11,0)),0.1)</f>
        <v>212.688</v>
      </c>
      <c r="Q154" s="18" t="n">
        <f aca="false">O154-P154</f>
        <v>909.712</v>
      </c>
      <c r="R154" s="14" t="s">
        <v>135</v>
      </c>
      <c r="S154" s="14" t="s">
        <v>125</v>
      </c>
    </row>
    <row r="155" customFormat="false" ht="15" hidden="false" customHeight="false" outlineLevel="0" collapsed="false">
      <c r="A155" s="14" t="s">
        <v>527</v>
      </c>
      <c r="B155" s="15" t="n">
        <v>45973</v>
      </c>
      <c r="C155" s="14" t="s">
        <v>528</v>
      </c>
      <c r="D155" s="14" t="s">
        <v>529</v>
      </c>
      <c r="E155" s="14" t="s">
        <v>145</v>
      </c>
      <c r="F155" s="14" t="s">
        <v>146</v>
      </c>
      <c r="G155" s="14" t="s">
        <v>141</v>
      </c>
      <c r="H155" s="14" t="s">
        <v>72</v>
      </c>
      <c r="I155" s="14" t="str">
        <f aca="false">IFERROR(INDEX(Calculations!$B$6:$B$27,MATCH(H155,Calculations!$A$6:$A$27,0)),"Unknown")</f>
        <v>Smart Home</v>
      </c>
      <c r="J155" s="14" t="n">
        <v>3</v>
      </c>
      <c r="K155" s="16" t="n">
        <v>4425.34</v>
      </c>
      <c r="L155" s="17" t="n">
        <v>0</v>
      </c>
      <c r="M155" s="18" t="n">
        <f aca="false">J155*K155*(1-L155)</f>
        <v>13276.02</v>
      </c>
      <c r="N155" s="18" t="n">
        <f aca="false">J155*IFERROR(INDEX(Calculations!$C$6:$C$27,MATCH(H155,Calculations!$A$6:$A$27,0)),0)</f>
        <v>7800</v>
      </c>
      <c r="O155" s="18" t="n">
        <f aca="false">M155-N155</f>
        <v>5476.02</v>
      </c>
      <c r="P155" s="18" t="n">
        <f aca="false">M155*IFERROR(INDEX(Calculations!$F$6:$F$11,MATCH(I155,Calculations!$E$6:$E$11,0)),0.1)</f>
        <v>1460.3622</v>
      </c>
      <c r="Q155" s="18" t="n">
        <f aca="false">O155-P155</f>
        <v>4015.6578</v>
      </c>
      <c r="R155" s="14" t="s">
        <v>124</v>
      </c>
      <c r="S155" s="14" t="s">
        <v>125</v>
      </c>
    </row>
    <row r="156" customFormat="false" ht="15" hidden="false" customHeight="false" outlineLevel="0" collapsed="false">
      <c r="A156" s="14" t="s">
        <v>530</v>
      </c>
      <c r="B156" s="15" t="n">
        <v>45973</v>
      </c>
      <c r="C156" s="14" t="s">
        <v>531</v>
      </c>
      <c r="D156" s="14" t="s">
        <v>532</v>
      </c>
      <c r="E156" s="14" t="s">
        <v>194</v>
      </c>
      <c r="F156" s="14" t="s">
        <v>195</v>
      </c>
      <c r="G156" s="14" t="s">
        <v>161</v>
      </c>
      <c r="H156" s="14" t="s">
        <v>50</v>
      </c>
      <c r="I156" s="14" t="str">
        <f aca="false">IFERROR(INDEX(Calculations!$B$6:$B$27,MATCH(H156,Calculations!$A$6:$A$27,0)),"Unknown")</f>
        <v>Audio</v>
      </c>
      <c r="J156" s="14" t="n">
        <v>1</v>
      </c>
      <c r="K156" s="16" t="n">
        <v>1328.51</v>
      </c>
      <c r="L156" s="17" t="n">
        <v>0.05</v>
      </c>
      <c r="M156" s="18" t="n">
        <f aca="false">J156*K156*(1-L156)</f>
        <v>1262.0845</v>
      </c>
      <c r="N156" s="18" t="n">
        <f aca="false">J156*IFERROR(INDEX(Calculations!$C$6:$C$27,MATCH(H156,Calculations!$A$6:$A$27,0)),0)</f>
        <v>650</v>
      </c>
      <c r="O156" s="18" t="n">
        <f aca="false">M156-N156</f>
        <v>612.0845</v>
      </c>
      <c r="P156" s="18" t="n">
        <f aca="false">M156*IFERROR(INDEX(Calculations!$F$6:$F$11,MATCH(I156,Calculations!$E$6:$E$11,0)),0.1)</f>
        <v>126.20845</v>
      </c>
      <c r="Q156" s="18" t="n">
        <f aca="false">O156-P156</f>
        <v>485.87605</v>
      </c>
      <c r="R156" s="14" t="s">
        <v>135</v>
      </c>
      <c r="S156" s="14" t="s">
        <v>125</v>
      </c>
    </row>
    <row r="157" customFormat="false" ht="15" hidden="false" customHeight="false" outlineLevel="0" collapsed="false">
      <c r="A157" s="14" t="s">
        <v>533</v>
      </c>
      <c r="B157" s="15" t="n">
        <v>45973</v>
      </c>
      <c r="C157" s="14" t="s">
        <v>452</v>
      </c>
      <c r="D157" s="14" t="s">
        <v>453</v>
      </c>
      <c r="E157" s="14" t="s">
        <v>156</v>
      </c>
      <c r="F157" s="14" t="s">
        <v>157</v>
      </c>
      <c r="G157" s="14" t="s">
        <v>175</v>
      </c>
      <c r="H157" s="14" t="s">
        <v>58</v>
      </c>
      <c r="I157" s="14" t="str">
        <f aca="false">IFERROR(INDEX(Calculations!$B$6:$B$27,MATCH(H157,Calculations!$A$6:$A$27,0)),"Unknown")</f>
        <v>Mobile Accessories</v>
      </c>
      <c r="J157" s="14" t="n">
        <v>2</v>
      </c>
      <c r="K157" s="16" t="n">
        <v>489.14</v>
      </c>
      <c r="L157" s="17" t="n">
        <v>0.05</v>
      </c>
      <c r="M157" s="18" t="n">
        <f aca="false">J157*K157*(1-L157)</f>
        <v>929.366</v>
      </c>
      <c r="N157" s="18" t="n">
        <f aca="false">J157*IFERROR(INDEX(Calculations!$C$6:$C$27,MATCH(H157,Calculations!$A$6:$A$27,0)),0)</f>
        <v>440</v>
      </c>
      <c r="O157" s="18" t="n">
        <f aca="false">M157-N157</f>
        <v>489.366</v>
      </c>
      <c r="P157" s="18" t="n">
        <f aca="false">M157*IFERROR(INDEX(Calculations!$F$6:$F$11,MATCH(I157,Calculations!$E$6:$E$11,0)),0.1)</f>
        <v>111.52392</v>
      </c>
      <c r="Q157" s="18" t="n">
        <f aca="false">O157-P157</f>
        <v>377.84208</v>
      </c>
      <c r="R157" s="14" t="s">
        <v>243</v>
      </c>
      <c r="S157" s="14" t="s">
        <v>125</v>
      </c>
    </row>
    <row r="158" customFormat="false" ht="15" hidden="false" customHeight="false" outlineLevel="0" collapsed="false">
      <c r="A158" s="14" t="s">
        <v>534</v>
      </c>
      <c r="B158" s="15" t="n">
        <v>45974</v>
      </c>
      <c r="C158" s="14" t="s">
        <v>280</v>
      </c>
      <c r="D158" s="14" t="s">
        <v>281</v>
      </c>
      <c r="E158" s="14" t="s">
        <v>121</v>
      </c>
      <c r="F158" s="14" t="s">
        <v>122</v>
      </c>
      <c r="G158" s="14" t="s">
        <v>141</v>
      </c>
      <c r="H158" s="14" t="s">
        <v>66</v>
      </c>
      <c r="I158" s="14" t="str">
        <f aca="false">IFERROR(INDEX(Calculations!$B$6:$B$27,MATCH(H158,Calculations!$A$6:$A$27,0)),"Unknown")</f>
        <v>Computer Peripherals</v>
      </c>
      <c r="J158" s="14" t="n">
        <v>1</v>
      </c>
      <c r="K158" s="16" t="n">
        <v>12526.58</v>
      </c>
      <c r="L158" s="17" t="n">
        <v>0.15</v>
      </c>
      <c r="M158" s="18" t="n">
        <f aca="false">J158*K158*(1-L158)</f>
        <v>10647.593</v>
      </c>
      <c r="N158" s="18" t="n">
        <f aca="false">J158*IFERROR(INDEX(Calculations!$C$6:$C$27,MATCH(H158,Calculations!$A$6:$A$27,0)),0)</f>
        <v>7200</v>
      </c>
      <c r="O158" s="18" t="n">
        <f aca="false">M158-N158</f>
        <v>3447.593</v>
      </c>
      <c r="P158" s="18" t="n">
        <f aca="false">M158*IFERROR(INDEX(Calculations!$F$6:$F$11,MATCH(I158,Calculations!$E$6:$E$11,0)),0.1)</f>
        <v>851.80744</v>
      </c>
      <c r="Q158" s="18" t="n">
        <f aca="false">O158-P158</f>
        <v>2595.78556</v>
      </c>
      <c r="R158" s="14" t="s">
        <v>165</v>
      </c>
      <c r="S158" s="14" t="s">
        <v>125</v>
      </c>
    </row>
    <row r="159" customFormat="false" ht="15" hidden="false" customHeight="false" outlineLevel="0" collapsed="false">
      <c r="A159" s="14" t="s">
        <v>535</v>
      </c>
      <c r="B159" s="15" t="n">
        <v>45974</v>
      </c>
      <c r="C159" s="14" t="s">
        <v>221</v>
      </c>
      <c r="D159" s="14" t="s">
        <v>222</v>
      </c>
      <c r="E159" s="14" t="s">
        <v>156</v>
      </c>
      <c r="F159" s="14" t="s">
        <v>169</v>
      </c>
      <c r="G159" s="14" t="s">
        <v>175</v>
      </c>
      <c r="H159" s="14" t="s">
        <v>65</v>
      </c>
      <c r="I159" s="14" t="str">
        <f aca="false">IFERROR(INDEX(Calculations!$B$6:$B$27,MATCH(H159,Calculations!$A$6:$A$27,0)),"Unknown")</f>
        <v>Computer Peripherals</v>
      </c>
      <c r="J159" s="14" t="n">
        <v>2</v>
      </c>
      <c r="K159" s="16" t="n">
        <v>3186.87</v>
      </c>
      <c r="L159" s="17" t="n">
        <v>0.1</v>
      </c>
      <c r="M159" s="18" t="n">
        <f aca="false">J159*K159*(1-L159)</f>
        <v>5736.366</v>
      </c>
      <c r="N159" s="18" t="n">
        <f aca="false">J159*IFERROR(INDEX(Calculations!$C$6:$C$27,MATCH(H159,Calculations!$A$6:$A$27,0)),0)</f>
        <v>3200</v>
      </c>
      <c r="O159" s="18" t="n">
        <f aca="false">M159-N159</f>
        <v>2536.366</v>
      </c>
      <c r="P159" s="18" t="n">
        <f aca="false">M159*IFERROR(INDEX(Calculations!$F$6:$F$11,MATCH(I159,Calculations!$E$6:$E$11,0)),0.1)</f>
        <v>458.90928</v>
      </c>
      <c r="Q159" s="18" t="n">
        <f aca="false">O159-P159</f>
        <v>2077.45672</v>
      </c>
      <c r="R159" s="14" t="s">
        <v>135</v>
      </c>
      <c r="S159" s="14" t="s">
        <v>125</v>
      </c>
    </row>
    <row r="160" customFormat="false" ht="15" hidden="false" customHeight="false" outlineLevel="0" collapsed="false">
      <c r="A160" s="14" t="s">
        <v>536</v>
      </c>
      <c r="B160" s="15" t="n">
        <v>45975</v>
      </c>
      <c r="C160" s="14" t="s">
        <v>537</v>
      </c>
      <c r="D160" s="14" t="s">
        <v>538</v>
      </c>
      <c r="E160" s="14" t="s">
        <v>156</v>
      </c>
      <c r="F160" s="14" t="s">
        <v>169</v>
      </c>
      <c r="G160" s="14" t="s">
        <v>161</v>
      </c>
      <c r="H160" s="14" t="s">
        <v>62</v>
      </c>
      <c r="I160" s="14" t="str">
        <f aca="false">IFERROR(INDEX(Calculations!$B$6:$B$27,MATCH(H160,Calculations!$A$6:$A$27,0)),"Unknown")</f>
        <v>Mobile Accessories</v>
      </c>
      <c r="J160" s="14" t="n">
        <v>3</v>
      </c>
      <c r="K160" s="16" t="n">
        <v>357.62</v>
      </c>
      <c r="L160" s="17" t="n">
        <v>0</v>
      </c>
      <c r="M160" s="18" t="n">
        <f aca="false">J160*K160*(1-L160)</f>
        <v>1072.86</v>
      </c>
      <c r="N160" s="18" t="n">
        <f aca="false">J160*IFERROR(INDEX(Calculations!$C$6:$C$27,MATCH(H160,Calculations!$A$6:$A$27,0)),0)</f>
        <v>390</v>
      </c>
      <c r="O160" s="18" t="n">
        <f aca="false">M160-N160</f>
        <v>682.86</v>
      </c>
      <c r="P160" s="18" t="n">
        <f aca="false">M160*IFERROR(INDEX(Calculations!$F$6:$F$11,MATCH(I160,Calculations!$E$6:$E$11,0)),0.1)</f>
        <v>128.7432</v>
      </c>
      <c r="Q160" s="18" t="n">
        <f aca="false">O160-P160</f>
        <v>554.1168</v>
      </c>
      <c r="R160" s="14" t="s">
        <v>130</v>
      </c>
      <c r="S160" s="14" t="s">
        <v>205</v>
      </c>
    </row>
    <row r="161" customFormat="false" ht="15" hidden="false" customHeight="false" outlineLevel="0" collapsed="false">
      <c r="A161" s="14" t="s">
        <v>539</v>
      </c>
      <c r="B161" s="15" t="n">
        <v>45975</v>
      </c>
      <c r="C161" s="14" t="s">
        <v>477</v>
      </c>
      <c r="D161" s="14" t="s">
        <v>478</v>
      </c>
      <c r="E161" s="14" t="s">
        <v>156</v>
      </c>
      <c r="F161" s="14" t="s">
        <v>169</v>
      </c>
      <c r="G161" s="14" t="s">
        <v>175</v>
      </c>
      <c r="H161" s="14" t="s">
        <v>58</v>
      </c>
      <c r="I161" s="14" t="str">
        <f aca="false">IFERROR(INDEX(Calculations!$B$6:$B$27,MATCH(H161,Calculations!$A$6:$A$27,0)),"Unknown")</f>
        <v>Mobile Accessories</v>
      </c>
      <c r="J161" s="14" t="n">
        <v>1</v>
      </c>
      <c r="K161" s="16" t="n">
        <v>505.45</v>
      </c>
      <c r="L161" s="17" t="n">
        <v>0.1</v>
      </c>
      <c r="M161" s="18" t="n">
        <f aca="false">J161*K161*(1-L161)</f>
        <v>454.905</v>
      </c>
      <c r="N161" s="18" t="n">
        <f aca="false">J161*IFERROR(INDEX(Calculations!$C$6:$C$27,MATCH(H161,Calculations!$A$6:$A$27,0)),0)</f>
        <v>220</v>
      </c>
      <c r="O161" s="18" t="n">
        <f aca="false">M161-N161</f>
        <v>234.905</v>
      </c>
      <c r="P161" s="18" t="n">
        <f aca="false">M161*IFERROR(INDEX(Calculations!$F$6:$F$11,MATCH(I161,Calculations!$E$6:$E$11,0)),0.1)</f>
        <v>54.5886</v>
      </c>
      <c r="Q161" s="18" t="n">
        <f aca="false">O161-P161</f>
        <v>180.3164</v>
      </c>
      <c r="R161" s="14" t="s">
        <v>130</v>
      </c>
      <c r="S161" s="14" t="s">
        <v>125</v>
      </c>
    </row>
    <row r="162" customFormat="false" ht="15" hidden="false" customHeight="false" outlineLevel="0" collapsed="false">
      <c r="A162" s="14" t="s">
        <v>540</v>
      </c>
      <c r="B162" s="15" t="n">
        <v>45976</v>
      </c>
      <c r="C162" s="14" t="s">
        <v>528</v>
      </c>
      <c r="D162" s="14" t="s">
        <v>529</v>
      </c>
      <c r="E162" s="14" t="s">
        <v>145</v>
      </c>
      <c r="F162" s="14" t="s">
        <v>146</v>
      </c>
      <c r="G162" s="14" t="s">
        <v>147</v>
      </c>
      <c r="H162" s="14" t="s">
        <v>73</v>
      </c>
      <c r="I162" s="14" t="str">
        <f aca="false">IFERROR(INDEX(Calculations!$B$6:$B$27,MATCH(H162,Calculations!$A$6:$A$27,0)),"Unknown")</f>
        <v>Wearables</v>
      </c>
      <c r="J162" s="14" t="n">
        <v>4</v>
      </c>
      <c r="K162" s="16" t="n">
        <v>1956.3</v>
      </c>
      <c r="L162" s="17" t="n">
        <v>0.1</v>
      </c>
      <c r="M162" s="18" t="n">
        <f aca="false">J162*K162*(1-L162)</f>
        <v>7042.68</v>
      </c>
      <c r="N162" s="18" t="n">
        <f aca="false">J162*IFERROR(INDEX(Calculations!$C$6:$C$27,MATCH(H162,Calculations!$A$6:$A$27,0)),0)</f>
        <v>4400</v>
      </c>
      <c r="O162" s="18" t="n">
        <f aca="false">M162-N162</f>
        <v>2642.68</v>
      </c>
      <c r="P162" s="18" t="n">
        <f aca="false">M162*IFERROR(INDEX(Calculations!$F$6:$F$11,MATCH(I162,Calculations!$E$6:$E$11,0)),0.1)</f>
        <v>633.8412</v>
      </c>
      <c r="Q162" s="18" t="n">
        <f aca="false">O162-P162</f>
        <v>2008.8388</v>
      </c>
      <c r="R162" s="14" t="s">
        <v>165</v>
      </c>
      <c r="S162" s="14" t="s">
        <v>125</v>
      </c>
    </row>
    <row r="163" customFormat="false" ht="15" hidden="false" customHeight="false" outlineLevel="0" collapsed="false">
      <c r="A163" s="14" t="s">
        <v>541</v>
      </c>
      <c r="B163" s="15" t="n">
        <v>45977</v>
      </c>
      <c r="C163" s="14" t="s">
        <v>207</v>
      </c>
      <c r="D163" s="14" t="s">
        <v>208</v>
      </c>
      <c r="E163" s="14" t="s">
        <v>156</v>
      </c>
      <c r="F163" s="14" t="s">
        <v>157</v>
      </c>
      <c r="G163" s="14" t="s">
        <v>123</v>
      </c>
      <c r="H163" s="14" t="s">
        <v>69</v>
      </c>
      <c r="I163" s="14" t="str">
        <f aca="false">IFERROR(INDEX(Calculations!$B$6:$B$27,MATCH(H163,Calculations!$A$6:$A$27,0)),"Unknown")</f>
        <v>Smart Home</v>
      </c>
      <c r="J163" s="14" t="n">
        <v>3</v>
      </c>
      <c r="K163" s="16" t="n">
        <v>790.84</v>
      </c>
      <c r="L163" s="17" t="n">
        <v>0.15</v>
      </c>
      <c r="M163" s="18" t="n">
        <f aca="false">J163*K163*(1-L163)</f>
        <v>2016.642</v>
      </c>
      <c r="N163" s="18" t="n">
        <f aca="false">J163*IFERROR(INDEX(Calculations!$C$6:$C$27,MATCH(H163,Calculations!$A$6:$A$27,0)),0)</f>
        <v>1050</v>
      </c>
      <c r="O163" s="18" t="n">
        <f aca="false">M163-N163</f>
        <v>966.642</v>
      </c>
      <c r="P163" s="18" t="n">
        <f aca="false">M163*IFERROR(INDEX(Calculations!$F$6:$F$11,MATCH(I163,Calculations!$E$6:$E$11,0)),0.1)</f>
        <v>221.83062</v>
      </c>
      <c r="Q163" s="18" t="n">
        <f aca="false">O163-P163</f>
        <v>744.81138</v>
      </c>
      <c r="R163" s="14" t="s">
        <v>130</v>
      </c>
      <c r="S163" s="14" t="s">
        <v>125</v>
      </c>
    </row>
    <row r="164" customFormat="false" ht="15" hidden="false" customHeight="false" outlineLevel="0" collapsed="false">
      <c r="A164" s="14" t="s">
        <v>542</v>
      </c>
      <c r="B164" s="15" t="n">
        <v>45977</v>
      </c>
      <c r="C164" s="14" t="s">
        <v>233</v>
      </c>
      <c r="D164" s="14" t="s">
        <v>234</v>
      </c>
      <c r="E164" s="14" t="s">
        <v>121</v>
      </c>
      <c r="F164" s="14" t="s">
        <v>129</v>
      </c>
      <c r="G164" s="14" t="s">
        <v>134</v>
      </c>
      <c r="H164" s="14" t="s">
        <v>54</v>
      </c>
      <c r="I164" s="14" t="str">
        <f aca="false">IFERROR(INDEX(Calculations!$B$6:$B$27,MATCH(H164,Calculations!$A$6:$A$27,0)),"Unknown")</f>
        <v>Audio</v>
      </c>
      <c r="J164" s="14" t="n">
        <v>2</v>
      </c>
      <c r="K164" s="16" t="n">
        <v>2708.44</v>
      </c>
      <c r="L164" s="17" t="n">
        <v>0.2</v>
      </c>
      <c r="M164" s="18" t="n">
        <f aca="false">J164*K164*(1-L164)</f>
        <v>4333.504</v>
      </c>
      <c r="N164" s="18" t="n">
        <f aca="false">J164*IFERROR(INDEX(Calculations!$C$6:$C$27,MATCH(H164,Calculations!$A$6:$A$27,0)),0)</f>
        <v>2800</v>
      </c>
      <c r="O164" s="18" t="n">
        <f aca="false">M164-N164</f>
        <v>1533.504</v>
      </c>
      <c r="P164" s="18" t="n">
        <f aca="false">M164*IFERROR(INDEX(Calculations!$F$6:$F$11,MATCH(I164,Calculations!$E$6:$E$11,0)),0.1)</f>
        <v>433.3504</v>
      </c>
      <c r="Q164" s="18" t="n">
        <f aca="false">O164-P164</f>
        <v>1100.1536</v>
      </c>
      <c r="R164" s="14" t="s">
        <v>124</v>
      </c>
      <c r="S164" s="14" t="s">
        <v>125</v>
      </c>
    </row>
    <row r="165" customFormat="false" ht="15" hidden="false" customHeight="false" outlineLevel="0" collapsed="false">
      <c r="A165" s="14" t="s">
        <v>543</v>
      </c>
      <c r="B165" s="15" t="n">
        <v>45978</v>
      </c>
      <c r="C165" s="14" t="s">
        <v>544</v>
      </c>
      <c r="D165" s="14" t="s">
        <v>545</v>
      </c>
      <c r="E165" s="14" t="s">
        <v>121</v>
      </c>
      <c r="F165" s="14" t="s">
        <v>122</v>
      </c>
      <c r="G165" s="14" t="s">
        <v>134</v>
      </c>
      <c r="H165" s="14" t="s">
        <v>65</v>
      </c>
      <c r="I165" s="14" t="str">
        <f aca="false">IFERROR(INDEX(Calculations!$B$6:$B$27,MATCH(H165,Calculations!$A$6:$A$27,0)),"Unknown")</f>
        <v>Computer Peripherals</v>
      </c>
      <c r="J165" s="14" t="n">
        <v>3</v>
      </c>
      <c r="K165" s="16" t="n">
        <v>3145.12</v>
      </c>
      <c r="L165" s="17" t="n">
        <v>0</v>
      </c>
      <c r="M165" s="18" t="n">
        <f aca="false">J165*K165*(1-L165)</f>
        <v>9435.36</v>
      </c>
      <c r="N165" s="18" t="n">
        <f aca="false">J165*IFERROR(INDEX(Calculations!$C$6:$C$27,MATCH(H165,Calculations!$A$6:$A$27,0)),0)</f>
        <v>4800</v>
      </c>
      <c r="O165" s="18" t="n">
        <f aca="false">M165-N165</f>
        <v>4635.36</v>
      </c>
      <c r="P165" s="18" t="n">
        <f aca="false">M165*IFERROR(INDEX(Calculations!$F$6:$F$11,MATCH(I165,Calculations!$E$6:$E$11,0)),0.1)</f>
        <v>754.8288</v>
      </c>
      <c r="Q165" s="18" t="n">
        <f aca="false">O165-P165</f>
        <v>3880.5312</v>
      </c>
      <c r="R165" s="14" t="s">
        <v>124</v>
      </c>
      <c r="S165" s="14" t="s">
        <v>125</v>
      </c>
    </row>
    <row r="166" customFormat="false" ht="15" hidden="false" customHeight="false" outlineLevel="0" collapsed="false">
      <c r="A166" s="14" t="s">
        <v>546</v>
      </c>
      <c r="B166" s="15" t="n">
        <v>45978</v>
      </c>
      <c r="C166" s="14" t="s">
        <v>177</v>
      </c>
      <c r="D166" s="14" t="s">
        <v>178</v>
      </c>
      <c r="E166" s="14" t="s">
        <v>121</v>
      </c>
      <c r="F166" s="14" t="s">
        <v>129</v>
      </c>
      <c r="G166" s="14" t="s">
        <v>175</v>
      </c>
      <c r="H166" s="14" t="s">
        <v>74</v>
      </c>
      <c r="I166" s="14" t="str">
        <f aca="false">IFERROR(INDEX(Calculations!$B$6:$B$27,MATCH(H166,Calculations!$A$6:$A$27,0)),"Unknown")</f>
        <v>Wearables</v>
      </c>
      <c r="J166" s="14" t="n">
        <v>2</v>
      </c>
      <c r="K166" s="16" t="n">
        <v>6521.6</v>
      </c>
      <c r="L166" s="17" t="n">
        <v>0.2</v>
      </c>
      <c r="M166" s="18" t="n">
        <f aca="false">J166*K166*(1-L166)</f>
        <v>10434.56</v>
      </c>
      <c r="N166" s="18" t="n">
        <f aca="false">J166*IFERROR(INDEX(Calculations!$C$6:$C$27,MATCH(H166,Calculations!$A$6:$A$27,0)),0)</f>
        <v>7600</v>
      </c>
      <c r="O166" s="18" t="n">
        <f aca="false">M166-N166</f>
        <v>2834.56</v>
      </c>
      <c r="P166" s="18" t="n">
        <f aca="false">M166*IFERROR(INDEX(Calculations!$F$6:$F$11,MATCH(I166,Calculations!$E$6:$E$11,0)),0.1)</f>
        <v>939.1104</v>
      </c>
      <c r="Q166" s="18" t="n">
        <f aca="false">O166-P166</f>
        <v>1895.4496</v>
      </c>
      <c r="R166" s="14" t="s">
        <v>124</v>
      </c>
      <c r="S166" s="14" t="s">
        <v>125</v>
      </c>
    </row>
    <row r="167" customFormat="false" ht="15" hidden="false" customHeight="false" outlineLevel="0" collapsed="false">
      <c r="A167" s="14" t="s">
        <v>547</v>
      </c>
      <c r="B167" s="15" t="n">
        <v>45981</v>
      </c>
      <c r="C167" s="14" t="s">
        <v>197</v>
      </c>
      <c r="D167" s="14" t="s">
        <v>198</v>
      </c>
      <c r="E167" s="14" t="s">
        <v>121</v>
      </c>
      <c r="F167" s="14" t="s">
        <v>129</v>
      </c>
      <c r="G167" s="14" t="s">
        <v>147</v>
      </c>
      <c r="H167" s="14" t="s">
        <v>77</v>
      </c>
      <c r="I167" s="14" t="str">
        <f aca="false">IFERROR(INDEX(Calculations!$B$6:$B$27,MATCH(H167,Calculations!$A$6:$A$27,0)),"Unknown")</f>
        <v>Cameras</v>
      </c>
      <c r="J167" s="14" t="n">
        <v>3</v>
      </c>
      <c r="K167" s="16" t="n">
        <v>5541.15</v>
      </c>
      <c r="L167" s="17" t="n">
        <v>0.1</v>
      </c>
      <c r="M167" s="18" t="n">
        <f aca="false">J167*K167*(1-L167)</f>
        <v>14961.105</v>
      </c>
      <c r="N167" s="18" t="n">
        <f aca="false">J167*IFERROR(INDEX(Calculations!$C$6:$C$27,MATCH(H167,Calculations!$A$6:$A$27,0)),0)</f>
        <v>9300</v>
      </c>
      <c r="O167" s="18" t="n">
        <f aca="false">M167-N167</f>
        <v>5661.105</v>
      </c>
      <c r="P167" s="18" t="n">
        <f aca="false">M167*IFERROR(INDEX(Calculations!$F$6:$F$11,MATCH(I167,Calculations!$E$6:$E$11,0)),0.1)</f>
        <v>1122.082875</v>
      </c>
      <c r="Q167" s="18" t="n">
        <f aca="false">O167-P167</f>
        <v>4539.022125</v>
      </c>
      <c r="R167" s="14" t="s">
        <v>124</v>
      </c>
      <c r="S167" s="14" t="s">
        <v>125</v>
      </c>
    </row>
    <row r="168" customFormat="false" ht="15" hidden="false" customHeight="false" outlineLevel="0" collapsed="false">
      <c r="A168" s="14" t="s">
        <v>548</v>
      </c>
      <c r="B168" s="15" t="n">
        <v>45981</v>
      </c>
      <c r="C168" s="14" t="s">
        <v>471</v>
      </c>
      <c r="D168" s="14" t="s">
        <v>472</v>
      </c>
      <c r="E168" s="14" t="s">
        <v>156</v>
      </c>
      <c r="F168" s="14" t="s">
        <v>157</v>
      </c>
      <c r="G168" s="14" t="s">
        <v>161</v>
      </c>
      <c r="H168" s="14" t="s">
        <v>67</v>
      </c>
      <c r="I168" s="14" t="str">
        <f aca="false">IFERROR(INDEX(Calculations!$B$6:$B$27,MATCH(H168,Calculations!$A$6:$A$27,0)),"Unknown")</f>
        <v>Computer Peripherals</v>
      </c>
      <c r="J168" s="14" t="n">
        <v>1</v>
      </c>
      <c r="K168" s="16" t="n">
        <v>1834.43</v>
      </c>
      <c r="L168" s="17" t="n">
        <v>0.2</v>
      </c>
      <c r="M168" s="18" t="n">
        <f aca="false">J168*K168*(1-L168)</f>
        <v>1467.544</v>
      </c>
      <c r="N168" s="18" t="n">
        <f aca="false">J168*IFERROR(INDEX(Calculations!$C$6:$C$27,MATCH(H168,Calculations!$A$6:$A$27,0)),0)</f>
        <v>900</v>
      </c>
      <c r="O168" s="18" t="n">
        <f aca="false">M168-N168</f>
        <v>567.544</v>
      </c>
      <c r="P168" s="18" t="n">
        <f aca="false">M168*IFERROR(INDEX(Calculations!$F$6:$F$11,MATCH(I168,Calculations!$E$6:$E$11,0)),0.1)</f>
        <v>117.40352</v>
      </c>
      <c r="Q168" s="18" t="n">
        <f aca="false">O168-P168</f>
        <v>450.14048</v>
      </c>
      <c r="R168" s="14" t="s">
        <v>130</v>
      </c>
      <c r="S168" s="14" t="s">
        <v>125</v>
      </c>
    </row>
    <row r="169" customFormat="false" ht="15" hidden="false" customHeight="false" outlineLevel="0" collapsed="false">
      <c r="A169" s="14" t="s">
        <v>549</v>
      </c>
      <c r="B169" s="15" t="n">
        <v>45983</v>
      </c>
      <c r="C169" s="14" t="s">
        <v>240</v>
      </c>
      <c r="D169" s="14" t="s">
        <v>241</v>
      </c>
      <c r="E169" s="14" t="s">
        <v>139</v>
      </c>
      <c r="F169" s="14" t="s">
        <v>152</v>
      </c>
      <c r="G169" s="14" t="s">
        <v>123</v>
      </c>
      <c r="H169" s="14" t="s">
        <v>72</v>
      </c>
      <c r="I169" s="14" t="str">
        <f aca="false">IFERROR(INDEX(Calculations!$B$6:$B$27,MATCH(H169,Calculations!$A$6:$A$27,0)),"Unknown")</f>
        <v>Smart Home</v>
      </c>
      <c r="J169" s="14" t="n">
        <v>1</v>
      </c>
      <c r="K169" s="16" t="n">
        <v>4340.98</v>
      </c>
      <c r="L169" s="17" t="n">
        <v>0.2</v>
      </c>
      <c r="M169" s="18" t="n">
        <f aca="false">J169*K169*(1-L169)</f>
        <v>3472.784</v>
      </c>
      <c r="N169" s="18" t="n">
        <f aca="false">J169*IFERROR(INDEX(Calculations!$C$6:$C$27,MATCH(H169,Calculations!$A$6:$A$27,0)),0)</f>
        <v>2600</v>
      </c>
      <c r="O169" s="18" t="n">
        <f aca="false">M169-N169</f>
        <v>872.784</v>
      </c>
      <c r="P169" s="18" t="n">
        <f aca="false">M169*IFERROR(INDEX(Calculations!$F$6:$F$11,MATCH(I169,Calculations!$E$6:$E$11,0)),0.1)</f>
        <v>382.00624</v>
      </c>
      <c r="Q169" s="18" t="n">
        <f aca="false">O169-P169</f>
        <v>490.77776</v>
      </c>
      <c r="R169" s="14" t="s">
        <v>243</v>
      </c>
      <c r="S169" s="14" t="s">
        <v>205</v>
      </c>
    </row>
    <row r="170" customFormat="false" ht="15" hidden="false" customHeight="false" outlineLevel="0" collapsed="false">
      <c r="A170" s="14" t="s">
        <v>550</v>
      </c>
      <c r="B170" s="15" t="n">
        <v>45983</v>
      </c>
      <c r="C170" s="14" t="s">
        <v>551</v>
      </c>
      <c r="D170" s="14" t="s">
        <v>552</v>
      </c>
      <c r="E170" s="14" t="s">
        <v>145</v>
      </c>
      <c r="F170" s="14" t="s">
        <v>146</v>
      </c>
      <c r="G170" s="14" t="s">
        <v>209</v>
      </c>
      <c r="H170" s="14" t="s">
        <v>75</v>
      </c>
      <c r="I170" s="14" t="str">
        <f aca="false">IFERROR(INDEX(Calculations!$B$6:$B$27,MATCH(H170,Calculations!$A$6:$A$27,0)),"Unknown")</f>
        <v>Wearables</v>
      </c>
      <c r="J170" s="14" t="n">
        <v>5</v>
      </c>
      <c r="K170" s="16" t="n">
        <v>3204.16</v>
      </c>
      <c r="L170" s="17" t="n">
        <v>0.1</v>
      </c>
      <c r="M170" s="18" t="n">
        <f aca="false">J170*K170*(1-L170)</f>
        <v>14418.72</v>
      </c>
      <c r="N170" s="18" t="n">
        <f aca="false">J170*IFERROR(INDEX(Calculations!$C$6:$C$27,MATCH(H170,Calculations!$A$6:$A$27,0)),0)</f>
        <v>9500</v>
      </c>
      <c r="O170" s="18" t="n">
        <f aca="false">M170-N170</f>
        <v>4918.72</v>
      </c>
      <c r="P170" s="18" t="n">
        <f aca="false">M170*IFERROR(INDEX(Calculations!$F$6:$F$11,MATCH(I170,Calculations!$E$6:$E$11,0)),0.1)</f>
        <v>1297.6848</v>
      </c>
      <c r="Q170" s="18" t="n">
        <f aca="false">O170-P170</f>
        <v>3621.0352</v>
      </c>
      <c r="R170" s="14" t="s">
        <v>130</v>
      </c>
      <c r="S170" s="14" t="s">
        <v>148</v>
      </c>
    </row>
    <row r="171" customFormat="false" ht="15" hidden="false" customHeight="false" outlineLevel="0" collapsed="false">
      <c r="A171" s="14" t="s">
        <v>553</v>
      </c>
      <c r="B171" s="15" t="n">
        <v>45984</v>
      </c>
      <c r="C171" s="14" t="s">
        <v>227</v>
      </c>
      <c r="D171" s="14" t="s">
        <v>228</v>
      </c>
      <c r="E171" s="14" t="s">
        <v>145</v>
      </c>
      <c r="F171" s="14" t="s">
        <v>146</v>
      </c>
      <c r="G171" s="14" t="s">
        <v>141</v>
      </c>
      <c r="H171" s="14" t="s">
        <v>69</v>
      </c>
      <c r="I171" s="14" t="str">
        <f aca="false">IFERROR(INDEX(Calculations!$B$6:$B$27,MATCH(H171,Calculations!$A$6:$A$27,0)),"Unknown")</f>
        <v>Smart Home</v>
      </c>
      <c r="J171" s="14" t="n">
        <v>1</v>
      </c>
      <c r="K171" s="16" t="n">
        <v>825.58</v>
      </c>
      <c r="L171" s="17" t="n">
        <v>0.05</v>
      </c>
      <c r="M171" s="18" t="n">
        <f aca="false">J171*K171*(1-L171)</f>
        <v>784.301</v>
      </c>
      <c r="N171" s="18" t="n">
        <f aca="false">J171*IFERROR(INDEX(Calculations!$C$6:$C$27,MATCH(H171,Calculations!$A$6:$A$27,0)),0)</f>
        <v>350</v>
      </c>
      <c r="O171" s="18" t="n">
        <f aca="false">M171-N171</f>
        <v>434.301</v>
      </c>
      <c r="P171" s="18" t="n">
        <f aca="false">M171*IFERROR(INDEX(Calculations!$F$6:$F$11,MATCH(I171,Calculations!$E$6:$E$11,0)),0.1)</f>
        <v>86.27311</v>
      </c>
      <c r="Q171" s="18" t="n">
        <f aca="false">O171-P171</f>
        <v>348.02789</v>
      </c>
      <c r="R171" s="14" t="s">
        <v>165</v>
      </c>
      <c r="S171" s="14" t="s">
        <v>125</v>
      </c>
    </row>
    <row r="172" customFormat="false" ht="15" hidden="false" customHeight="false" outlineLevel="0" collapsed="false">
      <c r="A172" s="14" t="s">
        <v>554</v>
      </c>
      <c r="B172" s="15" t="n">
        <v>45984</v>
      </c>
      <c r="C172" s="14" t="s">
        <v>555</v>
      </c>
      <c r="D172" s="14" t="s">
        <v>556</v>
      </c>
      <c r="E172" s="14" t="s">
        <v>145</v>
      </c>
      <c r="F172" s="14" t="s">
        <v>174</v>
      </c>
      <c r="G172" s="14" t="s">
        <v>161</v>
      </c>
      <c r="H172" s="14" t="s">
        <v>68</v>
      </c>
      <c r="I172" s="14" t="str">
        <f aca="false">IFERROR(INDEX(Calculations!$B$6:$B$27,MATCH(H172,Calculations!$A$6:$A$27,0)),"Unknown")</f>
        <v>Computer Peripherals</v>
      </c>
      <c r="J172" s="14" t="n">
        <v>1</v>
      </c>
      <c r="K172" s="16" t="n">
        <v>999.09</v>
      </c>
      <c r="L172" s="17" t="n">
        <v>0</v>
      </c>
      <c r="M172" s="18" t="n">
        <f aca="false">J172*K172*(1-L172)</f>
        <v>999.09</v>
      </c>
      <c r="N172" s="18" t="n">
        <f aca="false">J172*IFERROR(INDEX(Calculations!$C$6:$C$27,MATCH(H172,Calculations!$A$6:$A$27,0)),0)</f>
        <v>500</v>
      </c>
      <c r="O172" s="18" t="n">
        <f aca="false">M172-N172</f>
        <v>499.09</v>
      </c>
      <c r="P172" s="18" t="n">
        <f aca="false">M172*IFERROR(INDEX(Calculations!$F$6:$F$11,MATCH(I172,Calculations!$E$6:$E$11,0)),0.1)</f>
        <v>79.9272</v>
      </c>
      <c r="Q172" s="18" t="n">
        <f aca="false">O172-P172</f>
        <v>419.1628</v>
      </c>
      <c r="R172" s="14" t="s">
        <v>124</v>
      </c>
      <c r="S172" s="14" t="s">
        <v>125</v>
      </c>
    </row>
    <row r="173" customFormat="false" ht="15" hidden="false" customHeight="false" outlineLevel="0" collapsed="false">
      <c r="A173" s="14" t="s">
        <v>557</v>
      </c>
      <c r="B173" s="15" t="n">
        <v>45985</v>
      </c>
      <c r="C173" s="14" t="s">
        <v>474</v>
      </c>
      <c r="D173" s="14" t="s">
        <v>475</v>
      </c>
      <c r="E173" s="14" t="s">
        <v>156</v>
      </c>
      <c r="F173" s="14" t="s">
        <v>169</v>
      </c>
      <c r="G173" s="14" t="s">
        <v>123</v>
      </c>
      <c r="H173" s="14" t="s">
        <v>58</v>
      </c>
      <c r="I173" s="14" t="str">
        <f aca="false">IFERROR(INDEX(Calculations!$B$6:$B$27,MATCH(H173,Calculations!$A$6:$A$27,0)),"Unknown")</f>
        <v>Mobile Accessories</v>
      </c>
      <c r="J173" s="14" t="n">
        <v>5</v>
      </c>
      <c r="K173" s="16" t="n">
        <v>511.16</v>
      </c>
      <c r="L173" s="17" t="n">
        <v>0.05</v>
      </c>
      <c r="M173" s="18" t="n">
        <f aca="false">J173*K173*(1-L173)</f>
        <v>2428.01</v>
      </c>
      <c r="N173" s="18" t="n">
        <f aca="false">J173*IFERROR(INDEX(Calculations!$C$6:$C$27,MATCH(H173,Calculations!$A$6:$A$27,0)),0)</f>
        <v>1100</v>
      </c>
      <c r="O173" s="18" t="n">
        <f aca="false">M173-N173</f>
        <v>1328.01</v>
      </c>
      <c r="P173" s="18" t="n">
        <f aca="false">M173*IFERROR(INDEX(Calculations!$F$6:$F$11,MATCH(I173,Calculations!$E$6:$E$11,0)),0.1)</f>
        <v>291.3612</v>
      </c>
      <c r="Q173" s="18" t="n">
        <f aca="false">O173-P173</f>
        <v>1036.6488</v>
      </c>
      <c r="R173" s="14" t="s">
        <v>165</v>
      </c>
      <c r="S173" s="14" t="s">
        <v>125</v>
      </c>
    </row>
    <row r="174" customFormat="false" ht="15" hidden="false" customHeight="false" outlineLevel="0" collapsed="false">
      <c r="A174" s="14" t="s">
        <v>558</v>
      </c>
      <c r="B174" s="15" t="n">
        <v>45985</v>
      </c>
      <c r="C174" s="14" t="s">
        <v>312</v>
      </c>
      <c r="D174" s="14" t="s">
        <v>313</v>
      </c>
      <c r="E174" s="14" t="s">
        <v>121</v>
      </c>
      <c r="F174" s="14" t="s">
        <v>129</v>
      </c>
      <c r="G174" s="14" t="s">
        <v>141</v>
      </c>
      <c r="H174" s="14" t="s">
        <v>70</v>
      </c>
      <c r="I174" s="14" t="str">
        <f aca="false">IFERROR(INDEX(Calculations!$B$6:$B$27,MATCH(H174,Calculations!$A$6:$A$27,0)),"Unknown")</f>
        <v>Smart Home</v>
      </c>
      <c r="J174" s="14" t="n">
        <v>3</v>
      </c>
      <c r="K174" s="16" t="n">
        <v>4013.91</v>
      </c>
      <c r="L174" s="17" t="n">
        <v>0.1</v>
      </c>
      <c r="M174" s="18" t="n">
        <f aca="false">J174*K174*(1-L174)</f>
        <v>10837.557</v>
      </c>
      <c r="N174" s="18" t="n">
        <f aca="false">J174*IFERROR(INDEX(Calculations!$C$6:$C$27,MATCH(H174,Calculations!$A$6:$A$27,0)),0)</f>
        <v>6600</v>
      </c>
      <c r="O174" s="18" t="n">
        <f aca="false">M174-N174</f>
        <v>4237.557</v>
      </c>
      <c r="P174" s="18" t="n">
        <f aca="false">M174*IFERROR(INDEX(Calculations!$F$6:$F$11,MATCH(I174,Calculations!$E$6:$E$11,0)),0.1)</f>
        <v>1192.13127</v>
      </c>
      <c r="Q174" s="18" t="n">
        <f aca="false">O174-P174</f>
        <v>3045.42573</v>
      </c>
      <c r="R174" s="14" t="s">
        <v>165</v>
      </c>
      <c r="S174" s="14" t="s">
        <v>148</v>
      </c>
    </row>
    <row r="175" customFormat="false" ht="15" hidden="false" customHeight="false" outlineLevel="0" collapsed="false">
      <c r="A175" s="14" t="s">
        <v>559</v>
      </c>
      <c r="B175" s="15" t="n">
        <v>45985</v>
      </c>
      <c r="C175" s="14" t="s">
        <v>404</v>
      </c>
      <c r="D175" s="14" t="s">
        <v>405</v>
      </c>
      <c r="E175" s="14" t="s">
        <v>156</v>
      </c>
      <c r="F175" s="14" t="s">
        <v>157</v>
      </c>
      <c r="G175" s="14" t="s">
        <v>134</v>
      </c>
      <c r="H175" s="14" t="s">
        <v>64</v>
      </c>
      <c r="I175" s="14" t="str">
        <f aca="false">IFERROR(INDEX(Calculations!$B$6:$B$27,MATCH(H175,Calculations!$A$6:$A$27,0)),"Unknown")</f>
        <v>Computer Peripherals</v>
      </c>
      <c r="J175" s="14" t="n">
        <v>1</v>
      </c>
      <c r="K175" s="16" t="n">
        <v>792.15</v>
      </c>
      <c r="L175" s="17" t="n">
        <v>0</v>
      </c>
      <c r="M175" s="18" t="n">
        <f aca="false">J175*K175*(1-L175)</f>
        <v>792.15</v>
      </c>
      <c r="N175" s="18" t="n">
        <f aca="false">J175*IFERROR(INDEX(Calculations!$C$6:$C$27,MATCH(H175,Calculations!$A$6:$A$27,0)),0)</f>
        <v>350</v>
      </c>
      <c r="O175" s="18" t="n">
        <f aca="false">M175-N175</f>
        <v>442.15</v>
      </c>
      <c r="P175" s="18" t="n">
        <f aca="false">M175*IFERROR(INDEX(Calculations!$F$6:$F$11,MATCH(I175,Calculations!$E$6:$E$11,0)),0.1)</f>
        <v>63.372</v>
      </c>
      <c r="Q175" s="18" t="n">
        <f aca="false">O175-P175</f>
        <v>378.778</v>
      </c>
      <c r="R175" s="14" t="s">
        <v>135</v>
      </c>
      <c r="S175" s="14" t="s">
        <v>125</v>
      </c>
    </row>
    <row r="176" customFormat="false" ht="15" hidden="false" customHeight="false" outlineLevel="0" collapsed="false">
      <c r="A176" s="14" t="s">
        <v>560</v>
      </c>
      <c r="B176" s="15" t="n">
        <v>45986</v>
      </c>
      <c r="C176" s="14" t="s">
        <v>378</v>
      </c>
      <c r="D176" s="14" t="s">
        <v>379</v>
      </c>
      <c r="E176" s="14" t="s">
        <v>145</v>
      </c>
      <c r="F176" s="14" t="s">
        <v>146</v>
      </c>
      <c r="G176" s="14" t="s">
        <v>175</v>
      </c>
      <c r="H176" s="14" t="s">
        <v>56</v>
      </c>
      <c r="I176" s="14" t="str">
        <f aca="false">IFERROR(INDEX(Calculations!$B$6:$B$27,MATCH(H176,Calculations!$A$6:$A$27,0)),"Unknown")</f>
        <v>Audio</v>
      </c>
      <c r="J176" s="14" t="n">
        <v>3</v>
      </c>
      <c r="K176" s="16" t="n">
        <v>908.51</v>
      </c>
      <c r="L176" s="17" t="n">
        <v>0</v>
      </c>
      <c r="M176" s="18" t="n">
        <f aca="false">J176*K176*(1-L176)</f>
        <v>2725.53</v>
      </c>
      <c r="N176" s="18" t="n">
        <f aca="false">J176*IFERROR(INDEX(Calculations!$C$6:$C$27,MATCH(H176,Calculations!$A$6:$A$27,0)),0)</f>
        <v>1350</v>
      </c>
      <c r="O176" s="18" t="n">
        <f aca="false">M176-N176</f>
        <v>1375.53</v>
      </c>
      <c r="P176" s="18" t="n">
        <f aca="false">M176*IFERROR(INDEX(Calculations!$F$6:$F$11,MATCH(I176,Calculations!$E$6:$E$11,0)),0.1)</f>
        <v>272.553</v>
      </c>
      <c r="Q176" s="18" t="n">
        <f aca="false">O176-P176</f>
        <v>1102.977</v>
      </c>
      <c r="R176" s="14" t="s">
        <v>124</v>
      </c>
      <c r="S176" s="14" t="s">
        <v>125</v>
      </c>
    </row>
    <row r="177" customFormat="false" ht="15" hidden="false" customHeight="false" outlineLevel="0" collapsed="false">
      <c r="A177" s="14" t="s">
        <v>561</v>
      </c>
      <c r="B177" s="15" t="n">
        <v>45988</v>
      </c>
      <c r="C177" s="14" t="s">
        <v>335</v>
      </c>
      <c r="D177" s="14" t="s">
        <v>336</v>
      </c>
      <c r="E177" s="14" t="s">
        <v>194</v>
      </c>
      <c r="F177" s="14" t="s">
        <v>259</v>
      </c>
      <c r="G177" s="14" t="s">
        <v>175</v>
      </c>
      <c r="H177" s="14" t="s">
        <v>63</v>
      </c>
      <c r="I177" s="14" t="str">
        <f aca="false">IFERROR(INDEX(Calculations!$B$6:$B$27,MATCH(H177,Calculations!$A$6:$A$27,0)),"Unknown")</f>
        <v>Mobile Accessories</v>
      </c>
      <c r="J177" s="14" t="n">
        <v>2</v>
      </c>
      <c r="K177" s="16" t="n">
        <v>354.25</v>
      </c>
      <c r="L177" s="17" t="n">
        <v>0.05</v>
      </c>
      <c r="M177" s="18" t="n">
        <f aca="false">J177*K177*(1-L177)</f>
        <v>673.075</v>
      </c>
      <c r="N177" s="18" t="n">
        <f aca="false">J177*IFERROR(INDEX(Calculations!$C$6:$C$27,MATCH(H177,Calculations!$A$6:$A$27,0)),0)</f>
        <v>300</v>
      </c>
      <c r="O177" s="18" t="n">
        <f aca="false">M177-N177</f>
        <v>373.075</v>
      </c>
      <c r="P177" s="18" t="n">
        <f aca="false">M177*IFERROR(INDEX(Calculations!$F$6:$F$11,MATCH(I177,Calculations!$E$6:$E$11,0)),0.1)</f>
        <v>80.769</v>
      </c>
      <c r="Q177" s="18" t="n">
        <f aca="false">O177-P177</f>
        <v>292.306</v>
      </c>
      <c r="R177" s="14" t="s">
        <v>124</v>
      </c>
      <c r="S177" s="14" t="s">
        <v>125</v>
      </c>
    </row>
    <row r="178" customFormat="false" ht="15" hidden="false" customHeight="false" outlineLevel="0" collapsed="false">
      <c r="A178" s="14" t="s">
        <v>562</v>
      </c>
      <c r="B178" s="15" t="n">
        <v>45989</v>
      </c>
      <c r="C178" s="14" t="s">
        <v>245</v>
      </c>
      <c r="D178" s="14" t="s">
        <v>246</v>
      </c>
      <c r="E178" s="14" t="s">
        <v>145</v>
      </c>
      <c r="F178" s="14" t="s">
        <v>174</v>
      </c>
      <c r="G178" s="14" t="s">
        <v>170</v>
      </c>
      <c r="H178" s="14" t="s">
        <v>77</v>
      </c>
      <c r="I178" s="14" t="str">
        <f aca="false">IFERROR(INDEX(Calculations!$B$6:$B$27,MATCH(H178,Calculations!$A$6:$A$27,0)),"Unknown")</f>
        <v>Cameras</v>
      </c>
      <c r="J178" s="14" t="n">
        <v>1</v>
      </c>
      <c r="K178" s="16" t="n">
        <v>5668.03</v>
      </c>
      <c r="L178" s="17" t="n">
        <v>0.05</v>
      </c>
      <c r="M178" s="18" t="n">
        <f aca="false">J178*K178*(1-L178)</f>
        <v>5384.6285</v>
      </c>
      <c r="N178" s="18" t="n">
        <f aca="false">J178*IFERROR(INDEX(Calculations!$C$6:$C$27,MATCH(H178,Calculations!$A$6:$A$27,0)),0)</f>
        <v>3100</v>
      </c>
      <c r="O178" s="18" t="n">
        <f aca="false">M178-N178</f>
        <v>2284.6285</v>
      </c>
      <c r="P178" s="18" t="n">
        <f aca="false">M178*IFERROR(INDEX(Calculations!$F$6:$F$11,MATCH(I178,Calculations!$E$6:$E$11,0)),0.1)</f>
        <v>403.8471375</v>
      </c>
      <c r="Q178" s="18" t="n">
        <f aca="false">O178-P178</f>
        <v>1880.7813625</v>
      </c>
      <c r="R178" s="14" t="s">
        <v>243</v>
      </c>
      <c r="S178" s="14" t="s">
        <v>125</v>
      </c>
    </row>
    <row r="179" customFormat="false" ht="15" hidden="false" customHeight="false" outlineLevel="0" collapsed="false">
      <c r="A179" s="14" t="s">
        <v>563</v>
      </c>
      <c r="B179" s="15" t="n">
        <v>45989</v>
      </c>
      <c r="C179" s="14" t="s">
        <v>564</v>
      </c>
      <c r="D179" s="14" t="s">
        <v>565</v>
      </c>
      <c r="E179" s="14" t="s">
        <v>145</v>
      </c>
      <c r="F179" s="14" t="s">
        <v>146</v>
      </c>
      <c r="G179" s="14" t="s">
        <v>147</v>
      </c>
      <c r="H179" s="14" t="s">
        <v>70</v>
      </c>
      <c r="I179" s="14" t="str">
        <f aca="false">IFERROR(INDEX(Calculations!$B$6:$B$27,MATCH(H179,Calculations!$A$6:$A$27,0)),"Unknown")</f>
        <v>Smart Home</v>
      </c>
      <c r="J179" s="14" t="n">
        <v>1</v>
      </c>
      <c r="K179" s="16" t="n">
        <v>4097.73</v>
      </c>
      <c r="L179" s="17" t="n">
        <v>0.05</v>
      </c>
      <c r="M179" s="18" t="n">
        <f aca="false">J179*K179*(1-L179)</f>
        <v>3892.8435</v>
      </c>
      <c r="N179" s="18" t="n">
        <f aca="false">J179*IFERROR(INDEX(Calculations!$C$6:$C$27,MATCH(H179,Calculations!$A$6:$A$27,0)),0)</f>
        <v>2200</v>
      </c>
      <c r="O179" s="18" t="n">
        <f aca="false">M179-N179</f>
        <v>1692.8435</v>
      </c>
      <c r="P179" s="18" t="n">
        <f aca="false">M179*IFERROR(INDEX(Calculations!$F$6:$F$11,MATCH(I179,Calculations!$E$6:$E$11,0)),0.1)</f>
        <v>428.212785</v>
      </c>
      <c r="Q179" s="18" t="n">
        <f aca="false">O179-P179</f>
        <v>1264.630715</v>
      </c>
      <c r="R179" s="14" t="s">
        <v>165</v>
      </c>
      <c r="S179" s="14" t="s">
        <v>125</v>
      </c>
    </row>
    <row r="180" customFormat="false" ht="15" hidden="false" customHeight="false" outlineLevel="0" collapsed="false">
      <c r="A180" s="14" t="s">
        <v>566</v>
      </c>
      <c r="B180" s="15" t="n">
        <v>45990</v>
      </c>
      <c r="C180" s="14" t="s">
        <v>511</v>
      </c>
      <c r="D180" s="14" t="s">
        <v>512</v>
      </c>
      <c r="E180" s="14" t="s">
        <v>194</v>
      </c>
      <c r="F180" s="14" t="s">
        <v>195</v>
      </c>
      <c r="G180" s="14" t="s">
        <v>134</v>
      </c>
      <c r="H180" s="14" t="s">
        <v>56</v>
      </c>
      <c r="I180" s="14" t="str">
        <f aca="false">IFERROR(INDEX(Calculations!$B$6:$B$27,MATCH(H180,Calculations!$A$6:$A$27,0)),"Unknown")</f>
        <v>Audio</v>
      </c>
      <c r="J180" s="14" t="n">
        <v>2</v>
      </c>
      <c r="K180" s="16" t="n">
        <v>889.72</v>
      </c>
      <c r="L180" s="17" t="n">
        <v>0.2</v>
      </c>
      <c r="M180" s="18" t="n">
        <f aca="false">J180*K180*(1-L180)</f>
        <v>1423.552</v>
      </c>
      <c r="N180" s="18" t="n">
        <f aca="false">J180*IFERROR(INDEX(Calculations!$C$6:$C$27,MATCH(H180,Calculations!$A$6:$A$27,0)),0)</f>
        <v>900</v>
      </c>
      <c r="O180" s="18" t="n">
        <f aca="false">M180-N180</f>
        <v>523.552</v>
      </c>
      <c r="P180" s="18" t="n">
        <f aca="false">M180*IFERROR(INDEX(Calculations!$F$6:$F$11,MATCH(I180,Calculations!$E$6:$E$11,0)),0.1)</f>
        <v>142.3552</v>
      </c>
      <c r="Q180" s="18" t="n">
        <f aca="false">O180-P180</f>
        <v>381.1968</v>
      </c>
      <c r="R180" s="14" t="s">
        <v>135</v>
      </c>
      <c r="S180" s="14" t="s">
        <v>125</v>
      </c>
    </row>
    <row r="181" customFormat="false" ht="15" hidden="false" customHeight="false" outlineLevel="0" collapsed="false">
      <c r="A181" s="14" t="s">
        <v>567</v>
      </c>
      <c r="B181" s="15" t="n">
        <v>45990</v>
      </c>
      <c r="C181" s="14" t="s">
        <v>465</v>
      </c>
      <c r="D181" s="14" t="s">
        <v>466</v>
      </c>
      <c r="E181" s="14" t="s">
        <v>139</v>
      </c>
      <c r="F181" s="14" t="s">
        <v>152</v>
      </c>
      <c r="G181" s="14" t="s">
        <v>175</v>
      </c>
      <c r="H181" s="14" t="s">
        <v>66</v>
      </c>
      <c r="I181" s="14" t="str">
        <f aca="false">IFERROR(INDEX(Calculations!$B$6:$B$27,MATCH(H181,Calculations!$A$6:$A$27,0)),"Unknown")</f>
        <v>Computer Peripherals</v>
      </c>
      <c r="J181" s="14" t="n">
        <v>1</v>
      </c>
      <c r="K181" s="16" t="n">
        <v>12571.6</v>
      </c>
      <c r="L181" s="17" t="n">
        <v>0</v>
      </c>
      <c r="M181" s="18" t="n">
        <f aca="false">J181*K181*(1-L181)</f>
        <v>12571.6</v>
      </c>
      <c r="N181" s="18" t="n">
        <f aca="false">J181*IFERROR(INDEX(Calculations!$C$6:$C$27,MATCH(H181,Calculations!$A$6:$A$27,0)),0)</f>
        <v>7200</v>
      </c>
      <c r="O181" s="18" t="n">
        <f aca="false">M181-N181</f>
        <v>5371.6</v>
      </c>
      <c r="P181" s="18" t="n">
        <f aca="false">M181*IFERROR(INDEX(Calculations!$F$6:$F$11,MATCH(I181,Calculations!$E$6:$E$11,0)),0.1)</f>
        <v>1005.728</v>
      </c>
      <c r="Q181" s="18" t="n">
        <f aca="false">O181-P181</f>
        <v>4365.872</v>
      </c>
      <c r="R181" s="14" t="s">
        <v>135</v>
      </c>
      <c r="S181" s="14" t="s">
        <v>125</v>
      </c>
    </row>
    <row r="182" customFormat="false" ht="15" hidden="false" customHeight="false" outlineLevel="0" collapsed="false">
      <c r="A182" s="14" t="s">
        <v>568</v>
      </c>
      <c r="B182" s="15" t="n">
        <v>45991</v>
      </c>
      <c r="C182" s="14" t="s">
        <v>240</v>
      </c>
      <c r="D182" s="14" t="s">
        <v>241</v>
      </c>
      <c r="E182" s="14" t="s">
        <v>139</v>
      </c>
      <c r="F182" s="14" t="s">
        <v>152</v>
      </c>
      <c r="G182" s="14" t="s">
        <v>161</v>
      </c>
      <c r="H182" s="14" t="s">
        <v>58</v>
      </c>
      <c r="I182" s="14" t="str">
        <f aca="false">IFERROR(INDEX(Calculations!$B$6:$B$27,MATCH(H182,Calculations!$A$6:$A$27,0)),"Unknown")</f>
        <v>Mobile Accessories</v>
      </c>
      <c r="J182" s="14" t="n">
        <v>1</v>
      </c>
      <c r="K182" s="16" t="n">
        <v>491.62</v>
      </c>
      <c r="L182" s="17" t="n">
        <v>0.15</v>
      </c>
      <c r="M182" s="18" t="n">
        <f aca="false">J182*K182*(1-L182)</f>
        <v>417.877</v>
      </c>
      <c r="N182" s="18" t="n">
        <f aca="false">J182*IFERROR(INDEX(Calculations!$C$6:$C$27,MATCH(H182,Calculations!$A$6:$A$27,0)),0)</f>
        <v>220</v>
      </c>
      <c r="O182" s="18" t="n">
        <f aca="false">M182-N182</f>
        <v>197.877</v>
      </c>
      <c r="P182" s="18" t="n">
        <f aca="false">M182*IFERROR(INDEX(Calculations!$F$6:$F$11,MATCH(I182,Calculations!$E$6:$E$11,0)),0.1)</f>
        <v>50.14524</v>
      </c>
      <c r="Q182" s="18" t="n">
        <f aca="false">O182-P182</f>
        <v>147.73176</v>
      </c>
      <c r="R182" s="14" t="s">
        <v>135</v>
      </c>
      <c r="S182" s="14" t="s">
        <v>125</v>
      </c>
    </row>
    <row r="183" customFormat="false" ht="15" hidden="false" customHeight="false" outlineLevel="0" collapsed="false">
      <c r="A183" s="14" t="s">
        <v>569</v>
      </c>
      <c r="B183" s="15" t="n">
        <v>45991</v>
      </c>
      <c r="C183" s="14" t="s">
        <v>386</v>
      </c>
      <c r="D183" s="14" t="s">
        <v>387</v>
      </c>
      <c r="E183" s="14" t="s">
        <v>145</v>
      </c>
      <c r="F183" s="14" t="s">
        <v>146</v>
      </c>
      <c r="G183" s="14" t="s">
        <v>141</v>
      </c>
      <c r="H183" s="14" t="s">
        <v>60</v>
      </c>
      <c r="I183" s="14" t="str">
        <f aca="false">IFERROR(INDEX(Calculations!$B$6:$B$27,MATCH(H183,Calculations!$A$6:$A$27,0)),"Unknown")</f>
        <v>Mobile Accessories</v>
      </c>
      <c r="J183" s="14" t="n">
        <v>3</v>
      </c>
      <c r="K183" s="16" t="n">
        <v>252.94</v>
      </c>
      <c r="L183" s="17" t="n">
        <v>0.15</v>
      </c>
      <c r="M183" s="18" t="n">
        <f aca="false">J183*K183*(1-L183)</f>
        <v>644.997</v>
      </c>
      <c r="N183" s="18" t="n">
        <f aca="false">J183*IFERROR(INDEX(Calculations!$C$6:$C$27,MATCH(H183,Calculations!$A$6:$A$27,0)),0)</f>
        <v>270</v>
      </c>
      <c r="O183" s="18" t="n">
        <f aca="false">M183-N183</f>
        <v>374.997</v>
      </c>
      <c r="P183" s="18" t="n">
        <f aca="false">M183*IFERROR(INDEX(Calculations!$F$6:$F$11,MATCH(I183,Calculations!$E$6:$E$11,0)),0.1)</f>
        <v>77.39964</v>
      </c>
      <c r="Q183" s="18" t="n">
        <f aca="false">O183-P183</f>
        <v>297.59736</v>
      </c>
      <c r="R183" s="14" t="s">
        <v>130</v>
      </c>
      <c r="S183" s="14" t="s">
        <v>125</v>
      </c>
    </row>
    <row r="184" customFormat="false" ht="15" hidden="false" customHeight="false" outlineLevel="0" collapsed="false">
      <c r="A184" s="14" t="s">
        <v>570</v>
      </c>
      <c r="B184" s="15" t="n">
        <v>45993</v>
      </c>
      <c r="C184" s="14" t="s">
        <v>571</v>
      </c>
      <c r="D184" s="14" t="s">
        <v>572</v>
      </c>
      <c r="E184" s="14" t="s">
        <v>139</v>
      </c>
      <c r="F184" s="14" t="s">
        <v>140</v>
      </c>
      <c r="G184" s="14" t="s">
        <v>147</v>
      </c>
      <c r="H184" s="14" t="s">
        <v>50</v>
      </c>
      <c r="I184" s="14" t="str">
        <f aca="false">IFERROR(INDEX(Calculations!$B$6:$B$27,MATCH(H184,Calculations!$A$6:$A$27,0)),"Unknown")</f>
        <v>Audio</v>
      </c>
      <c r="J184" s="14" t="n">
        <v>1</v>
      </c>
      <c r="K184" s="16" t="n">
        <v>1308.76</v>
      </c>
      <c r="L184" s="17" t="n">
        <v>0.05</v>
      </c>
      <c r="M184" s="18" t="n">
        <f aca="false">J184*K184*(1-L184)</f>
        <v>1243.322</v>
      </c>
      <c r="N184" s="18" t="n">
        <f aca="false">J184*IFERROR(INDEX(Calculations!$C$6:$C$27,MATCH(H184,Calculations!$A$6:$A$27,0)),0)</f>
        <v>650</v>
      </c>
      <c r="O184" s="18" t="n">
        <f aca="false">M184-N184</f>
        <v>593.322</v>
      </c>
      <c r="P184" s="18" t="n">
        <f aca="false">M184*IFERROR(INDEX(Calculations!$F$6:$F$11,MATCH(I184,Calculations!$E$6:$E$11,0)),0.1)</f>
        <v>124.3322</v>
      </c>
      <c r="Q184" s="18" t="n">
        <f aca="false">O184-P184</f>
        <v>468.9898</v>
      </c>
      <c r="R184" s="14" t="s">
        <v>135</v>
      </c>
      <c r="S184" s="14" t="s">
        <v>205</v>
      </c>
    </row>
    <row r="185" customFormat="false" ht="15" hidden="false" customHeight="false" outlineLevel="0" collapsed="false">
      <c r="A185" s="14" t="s">
        <v>573</v>
      </c>
      <c r="B185" s="15" t="n">
        <v>45994</v>
      </c>
      <c r="C185" s="14" t="s">
        <v>132</v>
      </c>
      <c r="D185" s="14" t="s">
        <v>133</v>
      </c>
      <c r="E185" s="14" t="s">
        <v>121</v>
      </c>
      <c r="F185" s="14" t="s">
        <v>129</v>
      </c>
      <c r="G185" s="14" t="s">
        <v>147</v>
      </c>
      <c r="H185" s="14" t="s">
        <v>71</v>
      </c>
      <c r="I185" s="14" t="str">
        <f aca="false">IFERROR(INDEX(Calculations!$B$6:$B$27,MATCH(H185,Calculations!$A$6:$A$27,0)),"Unknown")</f>
        <v>Smart Home</v>
      </c>
      <c r="J185" s="14" t="n">
        <v>2</v>
      </c>
      <c r="K185" s="16" t="n">
        <v>880.25</v>
      </c>
      <c r="L185" s="17" t="n">
        <v>0.05</v>
      </c>
      <c r="M185" s="18" t="n">
        <f aca="false">J185*K185*(1-L185)</f>
        <v>1672.475</v>
      </c>
      <c r="N185" s="18" t="n">
        <f aca="false">J185*IFERROR(INDEX(Calculations!$C$6:$C$27,MATCH(H185,Calculations!$A$6:$A$27,0)),0)</f>
        <v>900</v>
      </c>
      <c r="O185" s="18" t="n">
        <f aca="false">M185-N185</f>
        <v>772.475</v>
      </c>
      <c r="P185" s="18" t="n">
        <f aca="false">M185*IFERROR(INDEX(Calculations!$F$6:$F$11,MATCH(I185,Calculations!$E$6:$E$11,0)),0.1)</f>
        <v>183.97225</v>
      </c>
      <c r="Q185" s="18" t="n">
        <f aca="false">O185-P185</f>
        <v>588.50275</v>
      </c>
      <c r="R185" s="14" t="s">
        <v>130</v>
      </c>
      <c r="S185" s="14" t="s">
        <v>125</v>
      </c>
    </row>
    <row r="186" customFormat="false" ht="15" hidden="false" customHeight="false" outlineLevel="0" collapsed="false">
      <c r="A186" s="14" t="s">
        <v>574</v>
      </c>
      <c r="B186" s="15" t="n">
        <v>45994</v>
      </c>
      <c r="C186" s="14" t="s">
        <v>300</v>
      </c>
      <c r="D186" s="14" t="s">
        <v>301</v>
      </c>
      <c r="E186" s="14" t="s">
        <v>139</v>
      </c>
      <c r="F186" s="14" t="s">
        <v>140</v>
      </c>
      <c r="G186" s="14" t="s">
        <v>134</v>
      </c>
      <c r="H186" s="14" t="s">
        <v>60</v>
      </c>
      <c r="I186" s="14" t="str">
        <f aca="false">IFERROR(INDEX(Calculations!$B$6:$B$27,MATCH(H186,Calculations!$A$6:$A$27,0)),"Unknown")</f>
        <v>Mobile Accessories</v>
      </c>
      <c r="J186" s="14" t="n">
        <v>2</v>
      </c>
      <c r="K186" s="16" t="n">
        <v>245.63</v>
      </c>
      <c r="L186" s="17" t="n">
        <v>0.05</v>
      </c>
      <c r="M186" s="18" t="n">
        <f aca="false">J186*K186*(1-L186)</f>
        <v>466.697</v>
      </c>
      <c r="N186" s="18" t="n">
        <f aca="false">J186*IFERROR(INDEX(Calculations!$C$6:$C$27,MATCH(H186,Calculations!$A$6:$A$27,0)),0)</f>
        <v>180</v>
      </c>
      <c r="O186" s="18" t="n">
        <f aca="false">M186-N186</f>
        <v>286.697</v>
      </c>
      <c r="P186" s="18" t="n">
        <f aca="false">M186*IFERROR(INDEX(Calculations!$F$6:$F$11,MATCH(I186,Calculations!$E$6:$E$11,0)),0.1)</f>
        <v>56.00364</v>
      </c>
      <c r="Q186" s="18" t="n">
        <f aca="false">O186-P186</f>
        <v>230.69336</v>
      </c>
      <c r="R186" s="14" t="s">
        <v>124</v>
      </c>
      <c r="S186" s="14" t="s">
        <v>210</v>
      </c>
    </row>
    <row r="187" customFormat="false" ht="15" hidden="false" customHeight="false" outlineLevel="0" collapsed="false">
      <c r="A187" s="14" t="s">
        <v>575</v>
      </c>
      <c r="B187" s="15" t="n">
        <v>45994</v>
      </c>
      <c r="C187" s="14" t="s">
        <v>576</v>
      </c>
      <c r="D187" s="14" t="s">
        <v>577</v>
      </c>
      <c r="E187" s="14" t="s">
        <v>145</v>
      </c>
      <c r="F187" s="14" t="s">
        <v>146</v>
      </c>
      <c r="G187" s="14" t="s">
        <v>170</v>
      </c>
      <c r="H187" s="14" t="s">
        <v>75</v>
      </c>
      <c r="I187" s="14" t="str">
        <f aca="false">IFERROR(INDEX(Calculations!$B$6:$B$27,MATCH(H187,Calculations!$A$6:$A$27,0)),"Unknown")</f>
        <v>Wearables</v>
      </c>
      <c r="J187" s="14" t="n">
        <v>2</v>
      </c>
      <c r="K187" s="16" t="n">
        <v>3423.53</v>
      </c>
      <c r="L187" s="17" t="n">
        <v>0.2</v>
      </c>
      <c r="M187" s="18" t="n">
        <f aca="false">J187*K187*(1-L187)</f>
        <v>5477.648</v>
      </c>
      <c r="N187" s="18" t="n">
        <f aca="false">J187*IFERROR(INDEX(Calculations!$C$6:$C$27,MATCH(H187,Calculations!$A$6:$A$27,0)),0)</f>
        <v>3800</v>
      </c>
      <c r="O187" s="18" t="n">
        <f aca="false">M187-N187</f>
        <v>1677.648</v>
      </c>
      <c r="P187" s="18" t="n">
        <f aca="false">M187*IFERROR(INDEX(Calculations!$F$6:$F$11,MATCH(I187,Calculations!$E$6:$E$11,0)),0.1)</f>
        <v>492.98832</v>
      </c>
      <c r="Q187" s="18" t="n">
        <f aca="false">O187-P187</f>
        <v>1184.65968</v>
      </c>
      <c r="R187" s="14" t="s">
        <v>165</v>
      </c>
      <c r="S187" s="14" t="s">
        <v>125</v>
      </c>
    </row>
    <row r="188" customFormat="false" ht="15" hidden="false" customHeight="false" outlineLevel="0" collapsed="false">
      <c r="A188" s="14" t="s">
        <v>578</v>
      </c>
      <c r="B188" s="15" t="n">
        <v>45995</v>
      </c>
      <c r="C188" s="14" t="s">
        <v>326</v>
      </c>
      <c r="D188" s="14" t="s">
        <v>327</v>
      </c>
      <c r="E188" s="14" t="s">
        <v>194</v>
      </c>
      <c r="F188" s="14" t="s">
        <v>195</v>
      </c>
      <c r="G188" s="14" t="s">
        <v>123</v>
      </c>
      <c r="H188" s="14" t="s">
        <v>71</v>
      </c>
      <c r="I188" s="14" t="str">
        <f aca="false">IFERROR(INDEX(Calculations!$B$6:$B$27,MATCH(H188,Calculations!$A$6:$A$27,0)),"Unknown")</f>
        <v>Smart Home</v>
      </c>
      <c r="J188" s="14" t="n">
        <v>1</v>
      </c>
      <c r="K188" s="16" t="n">
        <v>868.29</v>
      </c>
      <c r="L188" s="17" t="n">
        <v>0</v>
      </c>
      <c r="M188" s="18" t="n">
        <f aca="false">J188*K188*(1-L188)</f>
        <v>868.29</v>
      </c>
      <c r="N188" s="18" t="n">
        <f aca="false">J188*IFERROR(INDEX(Calculations!$C$6:$C$27,MATCH(H188,Calculations!$A$6:$A$27,0)),0)</f>
        <v>450</v>
      </c>
      <c r="O188" s="18" t="n">
        <f aca="false">M188-N188</f>
        <v>418.29</v>
      </c>
      <c r="P188" s="18" t="n">
        <f aca="false">M188*IFERROR(INDEX(Calculations!$F$6:$F$11,MATCH(I188,Calculations!$E$6:$E$11,0)),0.1)</f>
        <v>95.5119</v>
      </c>
      <c r="Q188" s="18" t="n">
        <f aca="false">O188-P188</f>
        <v>322.7781</v>
      </c>
      <c r="R188" s="14" t="s">
        <v>124</v>
      </c>
      <c r="S188" s="14" t="s">
        <v>125</v>
      </c>
    </row>
    <row r="189" customFormat="false" ht="15" hidden="false" customHeight="false" outlineLevel="0" collapsed="false">
      <c r="A189" s="14" t="s">
        <v>579</v>
      </c>
      <c r="B189" s="15" t="n">
        <v>45996</v>
      </c>
      <c r="C189" s="14" t="s">
        <v>154</v>
      </c>
      <c r="D189" s="14" t="s">
        <v>155</v>
      </c>
      <c r="E189" s="14" t="s">
        <v>156</v>
      </c>
      <c r="F189" s="14" t="s">
        <v>157</v>
      </c>
      <c r="G189" s="14" t="s">
        <v>175</v>
      </c>
      <c r="H189" s="14" t="s">
        <v>70</v>
      </c>
      <c r="I189" s="14" t="str">
        <f aca="false">IFERROR(INDEX(Calculations!$B$6:$B$27,MATCH(H189,Calculations!$A$6:$A$27,0)),"Unknown")</f>
        <v>Smart Home</v>
      </c>
      <c r="J189" s="14" t="n">
        <v>1</v>
      </c>
      <c r="K189" s="16" t="n">
        <v>4074.28</v>
      </c>
      <c r="L189" s="17" t="n">
        <v>0</v>
      </c>
      <c r="M189" s="18" t="n">
        <f aca="false">J189*K189*(1-L189)</f>
        <v>4074.28</v>
      </c>
      <c r="N189" s="18" t="n">
        <f aca="false">J189*IFERROR(INDEX(Calculations!$C$6:$C$27,MATCH(H189,Calculations!$A$6:$A$27,0)),0)</f>
        <v>2200</v>
      </c>
      <c r="O189" s="18" t="n">
        <f aca="false">M189-N189</f>
        <v>1874.28</v>
      </c>
      <c r="P189" s="18" t="n">
        <f aca="false">M189*IFERROR(INDEX(Calculations!$F$6:$F$11,MATCH(I189,Calculations!$E$6:$E$11,0)),0.1)</f>
        <v>448.1708</v>
      </c>
      <c r="Q189" s="18" t="n">
        <f aca="false">O189-P189</f>
        <v>1426.1092</v>
      </c>
      <c r="R189" s="14" t="s">
        <v>135</v>
      </c>
      <c r="S189" s="14" t="s">
        <v>125</v>
      </c>
    </row>
    <row r="190" customFormat="false" ht="15" hidden="false" customHeight="false" outlineLevel="0" collapsed="false">
      <c r="A190" s="14" t="s">
        <v>580</v>
      </c>
      <c r="B190" s="15" t="n">
        <v>45997</v>
      </c>
      <c r="C190" s="14" t="s">
        <v>192</v>
      </c>
      <c r="D190" s="14" t="s">
        <v>193</v>
      </c>
      <c r="E190" s="14" t="s">
        <v>194</v>
      </c>
      <c r="F190" s="14" t="s">
        <v>195</v>
      </c>
      <c r="G190" s="14" t="s">
        <v>134</v>
      </c>
      <c r="H190" s="14" t="s">
        <v>68</v>
      </c>
      <c r="I190" s="14" t="str">
        <f aca="false">IFERROR(INDEX(Calculations!$B$6:$B$27,MATCH(H190,Calculations!$A$6:$A$27,0)),"Unknown")</f>
        <v>Computer Peripherals</v>
      </c>
      <c r="J190" s="14" t="n">
        <v>3</v>
      </c>
      <c r="K190" s="16" t="n">
        <v>1010.67</v>
      </c>
      <c r="L190" s="17" t="n">
        <v>0.15</v>
      </c>
      <c r="M190" s="18" t="n">
        <f aca="false">J190*K190*(1-L190)</f>
        <v>2577.2085</v>
      </c>
      <c r="N190" s="18" t="n">
        <f aca="false">J190*IFERROR(INDEX(Calculations!$C$6:$C$27,MATCH(H190,Calculations!$A$6:$A$27,0)),0)</f>
        <v>1500</v>
      </c>
      <c r="O190" s="18" t="n">
        <f aca="false">M190-N190</f>
        <v>1077.2085</v>
      </c>
      <c r="P190" s="18" t="n">
        <f aca="false">M190*IFERROR(INDEX(Calculations!$F$6:$F$11,MATCH(I190,Calculations!$E$6:$E$11,0)),0.1)</f>
        <v>206.17668</v>
      </c>
      <c r="Q190" s="18" t="n">
        <f aca="false">O190-P190</f>
        <v>871.03182</v>
      </c>
      <c r="R190" s="14" t="s">
        <v>130</v>
      </c>
      <c r="S190" s="14" t="s">
        <v>125</v>
      </c>
    </row>
    <row r="191" customFormat="false" ht="15" hidden="false" customHeight="false" outlineLevel="0" collapsed="false">
      <c r="A191" s="14" t="s">
        <v>581</v>
      </c>
      <c r="B191" s="15" t="n">
        <v>45997</v>
      </c>
      <c r="C191" s="14" t="s">
        <v>290</v>
      </c>
      <c r="D191" s="14" t="s">
        <v>291</v>
      </c>
      <c r="E191" s="14" t="s">
        <v>145</v>
      </c>
      <c r="F191" s="14" t="s">
        <v>146</v>
      </c>
      <c r="G191" s="14" t="s">
        <v>134</v>
      </c>
      <c r="H191" s="14" t="s">
        <v>77</v>
      </c>
      <c r="I191" s="14" t="str">
        <f aca="false">IFERROR(INDEX(Calculations!$B$6:$B$27,MATCH(H191,Calculations!$A$6:$A$27,0)),"Unknown")</f>
        <v>Cameras</v>
      </c>
      <c r="J191" s="14" t="n">
        <v>2</v>
      </c>
      <c r="K191" s="16" t="n">
        <v>5524.58</v>
      </c>
      <c r="L191" s="17" t="n">
        <v>0.1</v>
      </c>
      <c r="M191" s="18" t="n">
        <f aca="false">J191*K191*(1-L191)</f>
        <v>9944.244</v>
      </c>
      <c r="N191" s="18" t="n">
        <f aca="false">J191*IFERROR(INDEX(Calculations!$C$6:$C$27,MATCH(H191,Calculations!$A$6:$A$27,0)),0)</f>
        <v>6200</v>
      </c>
      <c r="O191" s="18" t="n">
        <f aca="false">M191-N191</f>
        <v>3744.244</v>
      </c>
      <c r="P191" s="18" t="n">
        <f aca="false">M191*IFERROR(INDEX(Calculations!$F$6:$F$11,MATCH(I191,Calculations!$E$6:$E$11,0)),0.1)</f>
        <v>745.8183</v>
      </c>
      <c r="Q191" s="18" t="n">
        <f aca="false">O191-P191</f>
        <v>2998.4257</v>
      </c>
      <c r="R191" s="14" t="s">
        <v>165</v>
      </c>
      <c r="S191" s="14" t="s">
        <v>125</v>
      </c>
    </row>
    <row r="192" customFormat="false" ht="15" hidden="false" customHeight="false" outlineLevel="0" collapsed="false">
      <c r="A192" s="14" t="s">
        <v>582</v>
      </c>
      <c r="B192" s="15" t="n">
        <v>45998</v>
      </c>
      <c r="C192" s="14" t="s">
        <v>583</v>
      </c>
      <c r="D192" s="14" t="s">
        <v>584</v>
      </c>
      <c r="E192" s="14" t="s">
        <v>194</v>
      </c>
      <c r="F192" s="14" t="s">
        <v>195</v>
      </c>
      <c r="G192" s="14" t="s">
        <v>175</v>
      </c>
      <c r="H192" s="14" t="s">
        <v>58</v>
      </c>
      <c r="I192" s="14" t="str">
        <f aca="false">IFERROR(INDEX(Calculations!$B$6:$B$27,MATCH(H192,Calculations!$A$6:$A$27,0)),"Unknown")</f>
        <v>Mobile Accessories</v>
      </c>
      <c r="J192" s="14" t="n">
        <v>3</v>
      </c>
      <c r="K192" s="16" t="n">
        <v>513.93</v>
      </c>
      <c r="L192" s="17" t="n">
        <v>0.05</v>
      </c>
      <c r="M192" s="18" t="n">
        <f aca="false">J192*K192*(1-L192)</f>
        <v>1464.7005</v>
      </c>
      <c r="N192" s="18" t="n">
        <f aca="false">J192*IFERROR(INDEX(Calculations!$C$6:$C$27,MATCH(H192,Calculations!$A$6:$A$27,0)),0)</f>
        <v>660</v>
      </c>
      <c r="O192" s="18" t="n">
        <f aca="false">M192-N192</f>
        <v>804.7005</v>
      </c>
      <c r="P192" s="18" t="n">
        <f aca="false">M192*IFERROR(INDEX(Calculations!$F$6:$F$11,MATCH(I192,Calculations!$E$6:$E$11,0)),0.1)</f>
        <v>175.76406</v>
      </c>
      <c r="Q192" s="18" t="n">
        <f aca="false">O192-P192</f>
        <v>628.93644</v>
      </c>
      <c r="R192" s="14" t="s">
        <v>130</v>
      </c>
      <c r="S192" s="14" t="s">
        <v>210</v>
      </c>
    </row>
    <row r="193" customFormat="false" ht="15" hidden="false" customHeight="false" outlineLevel="0" collapsed="false">
      <c r="A193" s="14" t="s">
        <v>585</v>
      </c>
      <c r="B193" s="15" t="n">
        <v>45998</v>
      </c>
      <c r="C193" s="14" t="s">
        <v>586</v>
      </c>
      <c r="D193" s="14" t="s">
        <v>587</v>
      </c>
      <c r="E193" s="14" t="s">
        <v>145</v>
      </c>
      <c r="F193" s="14" t="s">
        <v>146</v>
      </c>
      <c r="G193" s="14" t="s">
        <v>141</v>
      </c>
      <c r="H193" s="14" t="s">
        <v>54</v>
      </c>
      <c r="I193" s="14" t="str">
        <f aca="false">IFERROR(INDEX(Calculations!$B$6:$B$27,MATCH(H193,Calculations!$A$6:$A$27,0)),"Unknown")</f>
        <v>Audio</v>
      </c>
      <c r="J193" s="14" t="n">
        <v>3</v>
      </c>
      <c r="K193" s="16" t="n">
        <v>2890.17</v>
      </c>
      <c r="L193" s="17" t="n">
        <v>0.1</v>
      </c>
      <c r="M193" s="18" t="n">
        <f aca="false">J193*K193*(1-L193)</f>
        <v>7803.459</v>
      </c>
      <c r="N193" s="18" t="n">
        <f aca="false">J193*IFERROR(INDEX(Calculations!$C$6:$C$27,MATCH(H193,Calculations!$A$6:$A$27,0)),0)</f>
        <v>4200</v>
      </c>
      <c r="O193" s="18" t="n">
        <f aca="false">M193-N193</f>
        <v>3603.459</v>
      </c>
      <c r="P193" s="18" t="n">
        <f aca="false">M193*IFERROR(INDEX(Calculations!$F$6:$F$11,MATCH(I193,Calculations!$E$6:$E$11,0)),0.1)</f>
        <v>780.3459</v>
      </c>
      <c r="Q193" s="18" t="n">
        <f aca="false">O193-P193</f>
        <v>2823.1131</v>
      </c>
      <c r="R193" s="14" t="s">
        <v>135</v>
      </c>
      <c r="S193" s="14" t="s">
        <v>125</v>
      </c>
    </row>
    <row r="194" customFormat="false" ht="15" hidden="false" customHeight="false" outlineLevel="0" collapsed="false">
      <c r="A194" s="14" t="s">
        <v>588</v>
      </c>
      <c r="B194" s="15" t="n">
        <v>46000</v>
      </c>
      <c r="C194" s="14" t="s">
        <v>221</v>
      </c>
      <c r="D194" s="14" t="s">
        <v>222</v>
      </c>
      <c r="E194" s="14" t="s">
        <v>156</v>
      </c>
      <c r="F194" s="14" t="s">
        <v>169</v>
      </c>
      <c r="G194" s="14" t="s">
        <v>170</v>
      </c>
      <c r="H194" s="14" t="s">
        <v>62</v>
      </c>
      <c r="I194" s="14" t="str">
        <f aca="false">IFERROR(INDEX(Calculations!$B$6:$B$27,MATCH(H194,Calculations!$A$6:$A$27,0)),"Unknown")</f>
        <v>Mobile Accessories</v>
      </c>
      <c r="J194" s="14" t="n">
        <v>4</v>
      </c>
      <c r="K194" s="16" t="n">
        <v>337.73</v>
      </c>
      <c r="L194" s="17" t="n">
        <v>0.1</v>
      </c>
      <c r="M194" s="18" t="n">
        <f aca="false">J194*K194*(1-L194)</f>
        <v>1215.828</v>
      </c>
      <c r="N194" s="18" t="n">
        <f aca="false">J194*IFERROR(INDEX(Calculations!$C$6:$C$27,MATCH(H194,Calculations!$A$6:$A$27,0)),0)</f>
        <v>520</v>
      </c>
      <c r="O194" s="18" t="n">
        <f aca="false">M194-N194</f>
        <v>695.828</v>
      </c>
      <c r="P194" s="18" t="n">
        <f aca="false">M194*IFERROR(INDEX(Calculations!$F$6:$F$11,MATCH(I194,Calculations!$E$6:$E$11,0)),0.1)</f>
        <v>145.89936</v>
      </c>
      <c r="Q194" s="18" t="n">
        <f aca="false">O194-P194</f>
        <v>549.92864</v>
      </c>
      <c r="R194" s="14" t="s">
        <v>130</v>
      </c>
      <c r="S194" s="14" t="s">
        <v>125</v>
      </c>
    </row>
    <row r="195" customFormat="false" ht="15" hidden="false" customHeight="false" outlineLevel="0" collapsed="false">
      <c r="A195" s="14" t="s">
        <v>589</v>
      </c>
      <c r="B195" s="15" t="n">
        <v>46001</v>
      </c>
      <c r="C195" s="14" t="s">
        <v>528</v>
      </c>
      <c r="D195" s="14" t="s">
        <v>529</v>
      </c>
      <c r="E195" s="14" t="s">
        <v>145</v>
      </c>
      <c r="F195" s="14" t="s">
        <v>146</v>
      </c>
      <c r="G195" s="14" t="s">
        <v>170</v>
      </c>
      <c r="H195" s="14" t="s">
        <v>60</v>
      </c>
      <c r="I195" s="14" t="str">
        <f aca="false">IFERROR(INDEX(Calculations!$B$6:$B$27,MATCH(H195,Calculations!$A$6:$A$27,0)),"Unknown")</f>
        <v>Mobile Accessories</v>
      </c>
      <c r="J195" s="14" t="n">
        <v>5</v>
      </c>
      <c r="K195" s="16" t="n">
        <v>244.92</v>
      </c>
      <c r="L195" s="17" t="n">
        <v>0.15</v>
      </c>
      <c r="M195" s="18" t="n">
        <f aca="false">J195*K195*(1-L195)</f>
        <v>1040.91</v>
      </c>
      <c r="N195" s="18" t="n">
        <f aca="false">J195*IFERROR(INDEX(Calculations!$C$6:$C$27,MATCH(H195,Calculations!$A$6:$A$27,0)),0)</f>
        <v>450</v>
      </c>
      <c r="O195" s="18" t="n">
        <f aca="false">M195-N195</f>
        <v>590.91</v>
      </c>
      <c r="P195" s="18" t="n">
        <f aca="false">M195*IFERROR(INDEX(Calculations!$F$6:$F$11,MATCH(I195,Calculations!$E$6:$E$11,0)),0.1)</f>
        <v>124.9092</v>
      </c>
      <c r="Q195" s="18" t="n">
        <f aca="false">O195-P195</f>
        <v>466.0008</v>
      </c>
      <c r="R195" s="14" t="s">
        <v>165</v>
      </c>
      <c r="S195" s="14" t="s">
        <v>125</v>
      </c>
    </row>
    <row r="196" customFormat="false" ht="15" hidden="false" customHeight="false" outlineLevel="0" collapsed="false">
      <c r="A196" s="14" t="s">
        <v>590</v>
      </c>
      <c r="B196" s="15" t="n">
        <v>46001</v>
      </c>
      <c r="C196" s="14" t="s">
        <v>511</v>
      </c>
      <c r="D196" s="14" t="s">
        <v>512</v>
      </c>
      <c r="E196" s="14" t="s">
        <v>194</v>
      </c>
      <c r="F196" s="14" t="s">
        <v>195</v>
      </c>
      <c r="G196" s="14" t="s">
        <v>161</v>
      </c>
      <c r="H196" s="14" t="s">
        <v>72</v>
      </c>
      <c r="I196" s="14" t="str">
        <f aca="false">IFERROR(INDEX(Calculations!$B$6:$B$27,MATCH(H196,Calculations!$A$6:$A$27,0)),"Unknown")</f>
        <v>Smart Home</v>
      </c>
      <c r="J196" s="14" t="n">
        <v>3</v>
      </c>
      <c r="K196" s="16" t="n">
        <v>4666.74</v>
      </c>
      <c r="L196" s="17" t="n">
        <v>0.05</v>
      </c>
      <c r="M196" s="18" t="n">
        <f aca="false">J196*K196*(1-L196)</f>
        <v>13300.209</v>
      </c>
      <c r="N196" s="18" t="n">
        <f aca="false">J196*IFERROR(INDEX(Calculations!$C$6:$C$27,MATCH(H196,Calculations!$A$6:$A$27,0)),0)</f>
        <v>7800</v>
      </c>
      <c r="O196" s="18" t="n">
        <f aca="false">M196-N196</f>
        <v>5500.209</v>
      </c>
      <c r="P196" s="18" t="n">
        <f aca="false">M196*IFERROR(INDEX(Calculations!$F$6:$F$11,MATCH(I196,Calculations!$E$6:$E$11,0)),0.1)</f>
        <v>1463.02299</v>
      </c>
      <c r="Q196" s="18" t="n">
        <f aca="false">O196-P196</f>
        <v>4037.18601</v>
      </c>
      <c r="R196" s="14" t="s">
        <v>165</v>
      </c>
      <c r="S196" s="14" t="s">
        <v>125</v>
      </c>
    </row>
    <row r="197" customFormat="false" ht="15" hidden="false" customHeight="false" outlineLevel="0" collapsed="false">
      <c r="A197" s="14" t="s">
        <v>591</v>
      </c>
      <c r="B197" s="15" t="n">
        <v>46001</v>
      </c>
      <c r="C197" s="14" t="s">
        <v>592</v>
      </c>
      <c r="D197" s="14" t="s">
        <v>593</v>
      </c>
      <c r="E197" s="14" t="s">
        <v>145</v>
      </c>
      <c r="F197" s="14" t="s">
        <v>146</v>
      </c>
      <c r="G197" s="14" t="s">
        <v>161</v>
      </c>
      <c r="H197" s="14" t="s">
        <v>63</v>
      </c>
      <c r="I197" s="14" t="str">
        <f aca="false">IFERROR(INDEX(Calculations!$B$6:$B$27,MATCH(H197,Calculations!$A$6:$A$27,0)),"Unknown")</f>
        <v>Mobile Accessories</v>
      </c>
      <c r="J197" s="14" t="n">
        <v>1</v>
      </c>
      <c r="K197" s="16" t="n">
        <v>346.2</v>
      </c>
      <c r="L197" s="17" t="n">
        <v>0.15</v>
      </c>
      <c r="M197" s="18" t="n">
        <f aca="false">J197*K197*(1-L197)</f>
        <v>294.27</v>
      </c>
      <c r="N197" s="18" t="n">
        <f aca="false">J197*IFERROR(INDEX(Calculations!$C$6:$C$27,MATCH(H197,Calculations!$A$6:$A$27,0)),0)</f>
        <v>150</v>
      </c>
      <c r="O197" s="18" t="n">
        <f aca="false">M197-N197</f>
        <v>144.27</v>
      </c>
      <c r="P197" s="18" t="n">
        <f aca="false">M197*IFERROR(INDEX(Calculations!$F$6:$F$11,MATCH(I197,Calculations!$E$6:$E$11,0)),0.1)</f>
        <v>35.3124</v>
      </c>
      <c r="Q197" s="18" t="n">
        <f aca="false">O197-P197</f>
        <v>108.9576</v>
      </c>
      <c r="R197" s="14" t="s">
        <v>135</v>
      </c>
      <c r="S197" s="14" t="s">
        <v>125</v>
      </c>
    </row>
    <row r="198" customFormat="false" ht="15" hidden="false" customHeight="false" outlineLevel="0" collapsed="false">
      <c r="A198" s="14" t="s">
        <v>594</v>
      </c>
      <c r="B198" s="15" t="n">
        <v>46002</v>
      </c>
      <c r="C198" s="14" t="s">
        <v>212</v>
      </c>
      <c r="D198" s="14" t="s">
        <v>213</v>
      </c>
      <c r="E198" s="14" t="s">
        <v>145</v>
      </c>
      <c r="F198" s="14" t="s">
        <v>146</v>
      </c>
      <c r="G198" s="14" t="s">
        <v>141</v>
      </c>
      <c r="H198" s="14" t="s">
        <v>75</v>
      </c>
      <c r="I198" s="14" t="str">
        <f aca="false">IFERROR(INDEX(Calculations!$B$6:$B$27,MATCH(H198,Calculations!$A$6:$A$27,0)),"Unknown")</f>
        <v>Wearables</v>
      </c>
      <c r="J198" s="14" t="n">
        <v>5</v>
      </c>
      <c r="K198" s="16" t="n">
        <v>3408.31</v>
      </c>
      <c r="L198" s="17" t="n">
        <v>0</v>
      </c>
      <c r="M198" s="18" t="n">
        <f aca="false">J198*K198*(1-L198)</f>
        <v>17041.55</v>
      </c>
      <c r="N198" s="18" t="n">
        <f aca="false">J198*IFERROR(INDEX(Calculations!$C$6:$C$27,MATCH(H198,Calculations!$A$6:$A$27,0)),0)</f>
        <v>9500</v>
      </c>
      <c r="O198" s="18" t="n">
        <f aca="false">M198-N198</f>
        <v>7541.55</v>
      </c>
      <c r="P198" s="18" t="n">
        <f aca="false">M198*IFERROR(INDEX(Calculations!$F$6:$F$11,MATCH(I198,Calculations!$E$6:$E$11,0)),0.1)</f>
        <v>1533.7395</v>
      </c>
      <c r="Q198" s="18" t="n">
        <f aca="false">O198-P198</f>
        <v>6007.8105</v>
      </c>
      <c r="R198" s="14" t="s">
        <v>124</v>
      </c>
      <c r="S198" s="14" t="s">
        <v>125</v>
      </c>
    </row>
    <row r="199" customFormat="false" ht="15" hidden="false" customHeight="false" outlineLevel="0" collapsed="false">
      <c r="A199" s="14" t="s">
        <v>595</v>
      </c>
      <c r="B199" s="15" t="n">
        <v>46002</v>
      </c>
      <c r="C199" s="14" t="s">
        <v>341</v>
      </c>
      <c r="D199" s="14" t="s">
        <v>342</v>
      </c>
      <c r="E199" s="14" t="s">
        <v>139</v>
      </c>
      <c r="F199" s="14" t="s">
        <v>152</v>
      </c>
      <c r="G199" s="14" t="s">
        <v>134</v>
      </c>
      <c r="H199" s="14" t="s">
        <v>75</v>
      </c>
      <c r="I199" s="14" t="str">
        <f aca="false">IFERROR(INDEX(Calculations!$B$6:$B$27,MATCH(H199,Calculations!$A$6:$A$27,0)),"Unknown")</f>
        <v>Wearables</v>
      </c>
      <c r="J199" s="14" t="n">
        <v>2</v>
      </c>
      <c r="K199" s="16" t="n">
        <v>3229.63</v>
      </c>
      <c r="L199" s="17" t="n">
        <v>0.05</v>
      </c>
      <c r="M199" s="18" t="n">
        <f aca="false">J199*K199*(1-L199)</f>
        <v>6136.297</v>
      </c>
      <c r="N199" s="18" t="n">
        <f aca="false">J199*IFERROR(INDEX(Calculations!$C$6:$C$27,MATCH(H199,Calculations!$A$6:$A$27,0)),0)</f>
        <v>3800</v>
      </c>
      <c r="O199" s="18" t="n">
        <f aca="false">M199-N199</f>
        <v>2336.297</v>
      </c>
      <c r="P199" s="18" t="n">
        <f aca="false">M199*IFERROR(INDEX(Calculations!$F$6:$F$11,MATCH(I199,Calculations!$E$6:$E$11,0)),0.1)</f>
        <v>552.26673</v>
      </c>
      <c r="Q199" s="18" t="n">
        <f aca="false">O199-P199</f>
        <v>1784.03027</v>
      </c>
      <c r="R199" s="14" t="s">
        <v>135</v>
      </c>
      <c r="S199" s="14" t="s">
        <v>125</v>
      </c>
    </row>
    <row r="200" customFormat="false" ht="15" hidden="false" customHeight="false" outlineLevel="0" collapsed="false">
      <c r="A200" s="14" t="s">
        <v>596</v>
      </c>
      <c r="B200" s="15" t="n">
        <v>46003</v>
      </c>
      <c r="C200" s="14" t="s">
        <v>312</v>
      </c>
      <c r="D200" s="14" t="s">
        <v>313</v>
      </c>
      <c r="E200" s="14" t="s">
        <v>121</v>
      </c>
      <c r="F200" s="14" t="s">
        <v>129</v>
      </c>
      <c r="G200" s="14" t="s">
        <v>161</v>
      </c>
      <c r="H200" s="14" t="s">
        <v>64</v>
      </c>
      <c r="I200" s="14" t="str">
        <f aca="false">IFERROR(INDEX(Calculations!$B$6:$B$27,MATCH(H200,Calculations!$A$6:$A$27,0)),"Unknown")</f>
        <v>Computer Peripherals</v>
      </c>
      <c r="J200" s="14" t="n">
        <v>1</v>
      </c>
      <c r="K200" s="16" t="n">
        <v>800.11</v>
      </c>
      <c r="L200" s="17" t="n">
        <v>0</v>
      </c>
      <c r="M200" s="18" t="n">
        <f aca="false">J200*K200*(1-L200)</f>
        <v>800.11</v>
      </c>
      <c r="N200" s="18" t="n">
        <f aca="false">J200*IFERROR(INDEX(Calculations!$C$6:$C$27,MATCH(H200,Calculations!$A$6:$A$27,0)),0)</f>
        <v>350</v>
      </c>
      <c r="O200" s="18" t="n">
        <f aca="false">M200-N200</f>
        <v>450.11</v>
      </c>
      <c r="P200" s="18" t="n">
        <f aca="false">M200*IFERROR(INDEX(Calculations!$F$6:$F$11,MATCH(I200,Calculations!$E$6:$E$11,0)),0.1)</f>
        <v>64.0088</v>
      </c>
      <c r="Q200" s="18" t="n">
        <f aca="false">O200-P200</f>
        <v>386.1012</v>
      </c>
      <c r="R200" s="14" t="s">
        <v>130</v>
      </c>
      <c r="S200" s="14" t="s">
        <v>210</v>
      </c>
    </row>
    <row r="201" customFormat="false" ht="15" hidden="false" customHeight="false" outlineLevel="0" collapsed="false">
      <c r="A201" s="14" t="s">
        <v>597</v>
      </c>
      <c r="B201" s="15" t="n">
        <v>46004</v>
      </c>
      <c r="C201" s="14" t="s">
        <v>598</v>
      </c>
      <c r="D201" s="14" t="s">
        <v>599</v>
      </c>
      <c r="E201" s="14" t="s">
        <v>156</v>
      </c>
      <c r="F201" s="14" t="s">
        <v>169</v>
      </c>
      <c r="G201" s="14" t="s">
        <v>141</v>
      </c>
      <c r="H201" s="14" t="s">
        <v>70</v>
      </c>
      <c r="I201" s="14" t="str">
        <f aca="false">IFERROR(INDEX(Calculations!$B$6:$B$27,MATCH(H201,Calculations!$A$6:$A$27,0)),"Unknown")</f>
        <v>Smart Home</v>
      </c>
      <c r="J201" s="14" t="n">
        <v>4</v>
      </c>
      <c r="K201" s="16" t="n">
        <v>3866.87</v>
      </c>
      <c r="L201" s="17" t="n">
        <v>0.15</v>
      </c>
      <c r="M201" s="18" t="n">
        <f aca="false">J201*K201*(1-L201)</f>
        <v>13147.358</v>
      </c>
      <c r="N201" s="18" t="n">
        <f aca="false">J201*IFERROR(INDEX(Calculations!$C$6:$C$27,MATCH(H201,Calculations!$A$6:$A$27,0)),0)</f>
        <v>8800</v>
      </c>
      <c r="O201" s="18" t="n">
        <f aca="false">M201-N201</f>
        <v>4347.358</v>
      </c>
      <c r="P201" s="18" t="n">
        <f aca="false">M201*IFERROR(INDEX(Calculations!$F$6:$F$11,MATCH(I201,Calculations!$E$6:$E$11,0)),0.1)</f>
        <v>1446.20938</v>
      </c>
      <c r="Q201" s="18" t="n">
        <f aca="false">O201-P201</f>
        <v>2901.14862</v>
      </c>
      <c r="R201" s="14" t="s">
        <v>130</v>
      </c>
      <c r="S201" s="14" t="s">
        <v>210</v>
      </c>
    </row>
    <row r="202" customFormat="false" ht="15" hidden="false" customHeight="false" outlineLevel="0" collapsed="false">
      <c r="A202" s="14" t="s">
        <v>600</v>
      </c>
      <c r="B202" s="15" t="n">
        <v>46005</v>
      </c>
      <c r="C202" s="14" t="s">
        <v>601</v>
      </c>
      <c r="D202" s="14" t="s">
        <v>602</v>
      </c>
      <c r="E202" s="14" t="s">
        <v>139</v>
      </c>
      <c r="F202" s="14" t="s">
        <v>152</v>
      </c>
      <c r="G202" s="14" t="s">
        <v>161</v>
      </c>
      <c r="H202" s="14" t="s">
        <v>73</v>
      </c>
      <c r="I202" s="14" t="str">
        <f aca="false">IFERROR(INDEX(Calculations!$B$6:$B$27,MATCH(H202,Calculations!$A$6:$A$27,0)),"Unknown")</f>
        <v>Wearables</v>
      </c>
      <c r="J202" s="14" t="n">
        <v>1</v>
      </c>
      <c r="K202" s="16" t="n">
        <v>1934.38</v>
      </c>
      <c r="L202" s="17" t="n">
        <v>0.05</v>
      </c>
      <c r="M202" s="18" t="n">
        <f aca="false">J202*K202*(1-L202)</f>
        <v>1837.661</v>
      </c>
      <c r="N202" s="18" t="n">
        <f aca="false">J202*IFERROR(INDEX(Calculations!$C$6:$C$27,MATCH(H202,Calculations!$A$6:$A$27,0)),0)</f>
        <v>1100</v>
      </c>
      <c r="O202" s="18" t="n">
        <f aca="false">M202-N202</f>
        <v>737.661</v>
      </c>
      <c r="P202" s="18" t="n">
        <f aca="false">M202*IFERROR(INDEX(Calculations!$F$6:$F$11,MATCH(I202,Calculations!$E$6:$E$11,0)),0.1)</f>
        <v>165.38949</v>
      </c>
      <c r="Q202" s="18" t="n">
        <f aca="false">O202-P202</f>
        <v>572.27151</v>
      </c>
      <c r="R202" s="14" t="s">
        <v>124</v>
      </c>
      <c r="S202" s="14" t="s">
        <v>125</v>
      </c>
    </row>
    <row r="203" customFormat="false" ht="15" hidden="false" customHeight="false" outlineLevel="0" collapsed="false">
      <c r="A203" s="14" t="s">
        <v>603</v>
      </c>
      <c r="B203" s="15" t="n">
        <v>46005</v>
      </c>
      <c r="C203" s="14" t="s">
        <v>604</v>
      </c>
      <c r="D203" s="14" t="s">
        <v>605</v>
      </c>
      <c r="E203" s="14" t="s">
        <v>121</v>
      </c>
      <c r="F203" s="14" t="s">
        <v>129</v>
      </c>
      <c r="G203" s="14" t="s">
        <v>209</v>
      </c>
      <c r="H203" s="14" t="s">
        <v>77</v>
      </c>
      <c r="I203" s="14" t="str">
        <f aca="false">IFERROR(INDEX(Calculations!$B$6:$B$27,MATCH(H203,Calculations!$A$6:$A$27,0)),"Unknown")</f>
        <v>Cameras</v>
      </c>
      <c r="J203" s="14" t="n">
        <v>3</v>
      </c>
      <c r="K203" s="16" t="n">
        <v>5449.52</v>
      </c>
      <c r="L203" s="17" t="n">
        <v>0.05</v>
      </c>
      <c r="M203" s="18" t="n">
        <f aca="false">J203*K203*(1-L203)</f>
        <v>15531.132</v>
      </c>
      <c r="N203" s="18" t="n">
        <f aca="false">J203*IFERROR(INDEX(Calculations!$C$6:$C$27,MATCH(H203,Calculations!$A$6:$A$27,0)),0)</f>
        <v>9300</v>
      </c>
      <c r="O203" s="18" t="n">
        <f aca="false">M203-N203</f>
        <v>6231.132</v>
      </c>
      <c r="P203" s="18" t="n">
        <f aca="false">M203*IFERROR(INDEX(Calculations!$F$6:$F$11,MATCH(I203,Calculations!$E$6:$E$11,0)),0.1)</f>
        <v>1164.8349</v>
      </c>
      <c r="Q203" s="18" t="n">
        <f aca="false">O203-P203</f>
        <v>5066.2971</v>
      </c>
      <c r="R203" s="14" t="s">
        <v>124</v>
      </c>
      <c r="S203" s="14" t="s">
        <v>125</v>
      </c>
    </row>
    <row r="204" customFormat="false" ht="15" hidden="false" customHeight="false" outlineLevel="0" collapsed="false">
      <c r="A204" s="14" t="s">
        <v>606</v>
      </c>
      <c r="B204" s="15" t="n">
        <v>46005</v>
      </c>
      <c r="C204" s="14" t="s">
        <v>607</v>
      </c>
      <c r="D204" s="14" t="s">
        <v>608</v>
      </c>
      <c r="E204" s="14" t="s">
        <v>145</v>
      </c>
      <c r="F204" s="14" t="s">
        <v>174</v>
      </c>
      <c r="G204" s="14" t="s">
        <v>147</v>
      </c>
      <c r="H204" s="14" t="s">
        <v>63</v>
      </c>
      <c r="I204" s="14" t="str">
        <f aca="false">IFERROR(INDEX(Calculations!$B$6:$B$27,MATCH(H204,Calculations!$A$6:$A$27,0)),"Unknown")</f>
        <v>Mobile Accessories</v>
      </c>
      <c r="J204" s="14" t="n">
        <v>1</v>
      </c>
      <c r="K204" s="16" t="n">
        <v>358.35</v>
      </c>
      <c r="L204" s="17" t="n">
        <v>0.15</v>
      </c>
      <c r="M204" s="18" t="n">
        <f aca="false">J204*K204*(1-L204)</f>
        <v>304.5975</v>
      </c>
      <c r="N204" s="18" t="n">
        <f aca="false">J204*IFERROR(INDEX(Calculations!$C$6:$C$27,MATCH(H204,Calculations!$A$6:$A$27,0)),0)</f>
        <v>150</v>
      </c>
      <c r="O204" s="18" t="n">
        <f aca="false">M204-N204</f>
        <v>154.5975</v>
      </c>
      <c r="P204" s="18" t="n">
        <f aca="false">M204*IFERROR(INDEX(Calculations!$F$6:$F$11,MATCH(I204,Calculations!$E$6:$E$11,0)),0.1)</f>
        <v>36.5517</v>
      </c>
      <c r="Q204" s="18" t="n">
        <f aca="false">O204-P204</f>
        <v>118.0458</v>
      </c>
      <c r="R204" s="14" t="s">
        <v>124</v>
      </c>
      <c r="S204" s="14" t="s">
        <v>125</v>
      </c>
    </row>
    <row r="205" customFormat="false" ht="15" hidden="false" customHeight="false" outlineLevel="0" collapsed="false">
      <c r="A205" s="14" t="s">
        <v>609</v>
      </c>
      <c r="B205" s="15" t="n">
        <v>46006</v>
      </c>
      <c r="C205" s="14" t="s">
        <v>398</v>
      </c>
      <c r="D205" s="14" t="s">
        <v>399</v>
      </c>
      <c r="E205" s="14" t="s">
        <v>139</v>
      </c>
      <c r="F205" s="14" t="s">
        <v>152</v>
      </c>
      <c r="G205" s="14" t="s">
        <v>123</v>
      </c>
      <c r="H205" s="14" t="s">
        <v>54</v>
      </c>
      <c r="I205" s="14" t="str">
        <f aca="false">IFERROR(INDEX(Calculations!$B$6:$B$27,MATCH(H205,Calculations!$A$6:$A$27,0)),"Unknown")</f>
        <v>Audio</v>
      </c>
      <c r="J205" s="14" t="n">
        <v>1</v>
      </c>
      <c r="K205" s="16" t="n">
        <v>2893.97</v>
      </c>
      <c r="L205" s="17" t="n">
        <v>0</v>
      </c>
      <c r="M205" s="18" t="n">
        <f aca="false">J205*K205*(1-L205)</f>
        <v>2893.97</v>
      </c>
      <c r="N205" s="18" t="n">
        <f aca="false">J205*IFERROR(INDEX(Calculations!$C$6:$C$27,MATCH(H205,Calculations!$A$6:$A$27,0)),0)</f>
        <v>1400</v>
      </c>
      <c r="O205" s="18" t="n">
        <f aca="false">M205-N205</f>
        <v>1493.97</v>
      </c>
      <c r="P205" s="18" t="n">
        <f aca="false">M205*IFERROR(INDEX(Calculations!$F$6:$F$11,MATCH(I205,Calculations!$E$6:$E$11,0)),0.1)</f>
        <v>289.397</v>
      </c>
      <c r="Q205" s="18" t="n">
        <f aca="false">O205-P205</f>
        <v>1204.573</v>
      </c>
      <c r="R205" s="14" t="s">
        <v>135</v>
      </c>
      <c r="S205" s="14" t="s">
        <v>125</v>
      </c>
    </row>
    <row r="206" customFormat="false" ht="15" hidden="false" customHeight="false" outlineLevel="0" collapsed="false">
      <c r="A206" s="14" t="s">
        <v>610</v>
      </c>
      <c r="B206" s="15" t="n">
        <v>46008</v>
      </c>
      <c r="C206" s="14" t="s">
        <v>611</v>
      </c>
      <c r="D206" s="14" t="s">
        <v>612</v>
      </c>
      <c r="E206" s="14" t="s">
        <v>156</v>
      </c>
      <c r="F206" s="14" t="s">
        <v>169</v>
      </c>
      <c r="G206" s="14" t="s">
        <v>123</v>
      </c>
      <c r="H206" s="14" t="s">
        <v>50</v>
      </c>
      <c r="I206" s="14" t="str">
        <f aca="false">IFERROR(INDEX(Calculations!$B$6:$B$27,MATCH(H206,Calculations!$A$6:$A$27,0)),"Unknown")</f>
        <v>Audio</v>
      </c>
      <c r="J206" s="14" t="n">
        <v>1</v>
      </c>
      <c r="K206" s="16" t="n">
        <v>1316.81</v>
      </c>
      <c r="L206" s="17" t="n">
        <v>0</v>
      </c>
      <c r="M206" s="18" t="n">
        <f aca="false">J206*K206*(1-L206)</f>
        <v>1316.81</v>
      </c>
      <c r="N206" s="18" t="n">
        <f aca="false">J206*IFERROR(INDEX(Calculations!$C$6:$C$27,MATCH(H206,Calculations!$A$6:$A$27,0)),0)</f>
        <v>650</v>
      </c>
      <c r="O206" s="18" t="n">
        <f aca="false">M206-N206</f>
        <v>666.81</v>
      </c>
      <c r="P206" s="18" t="n">
        <f aca="false">M206*IFERROR(INDEX(Calculations!$F$6:$F$11,MATCH(I206,Calculations!$E$6:$E$11,0)),0.1)</f>
        <v>131.681</v>
      </c>
      <c r="Q206" s="18" t="n">
        <f aca="false">O206-P206</f>
        <v>535.129</v>
      </c>
      <c r="R206" s="14" t="s">
        <v>130</v>
      </c>
      <c r="S206" s="14" t="s">
        <v>125</v>
      </c>
    </row>
    <row r="207" customFormat="false" ht="15" hidden="false" customHeight="false" outlineLevel="0" collapsed="false">
      <c r="A207" s="14" t="s">
        <v>613</v>
      </c>
      <c r="B207" s="15" t="n">
        <v>46009</v>
      </c>
      <c r="C207" s="14" t="s">
        <v>614</v>
      </c>
      <c r="D207" s="14" t="s">
        <v>615</v>
      </c>
      <c r="E207" s="14" t="s">
        <v>194</v>
      </c>
      <c r="F207" s="14" t="s">
        <v>195</v>
      </c>
      <c r="G207" s="14" t="s">
        <v>147</v>
      </c>
      <c r="H207" s="14" t="s">
        <v>70</v>
      </c>
      <c r="I207" s="14" t="str">
        <f aca="false">IFERROR(INDEX(Calculations!$B$6:$B$27,MATCH(H207,Calculations!$A$6:$A$27,0)),"Unknown")</f>
        <v>Smart Home</v>
      </c>
      <c r="J207" s="14" t="n">
        <v>1</v>
      </c>
      <c r="K207" s="16" t="n">
        <v>3903.89</v>
      </c>
      <c r="L207" s="17" t="n">
        <v>0.1</v>
      </c>
      <c r="M207" s="18" t="n">
        <f aca="false">J207*K207*(1-L207)</f>
        <v>3513.501</v>
      </c>
      <c r="N207" s="18" t="n">
        <f aca="false">J207*IFERROR(INDEX(Calculations!$C$6:$C$27,MATCH(H207,Calculations!$A$6:$A$27,0)),0)</f>
        <v>2200</v>
      </c>
      <c r="O207" s="18" t="n">
        <f aca="false">M207-N207</f>
        <v>1313.501</v>
      </c>
      <c r="P207" s="18" t="n">
        <f aca="false">M207*IFERROR(INDEX(Calculations!$F$6:$F$11,MATCH(I207,Calculations!$E$6:$E$11,0)),0.1)</f>
        <v>386.48511</v>
      </c>
      <c r="Q207" s="18" t="n">
        <f aca="false">O207-P207</f>
        <v>927.01589</v>
      </c>
      <c r="R207" s="14" t="s">
        <v>135</v>
      </c>
      <c r="S207" s="14" t="s">
        <v>125</v>
      </c>
    </row>
    <row r="208" customFormat="false" ht="15" hidden="false" customHeight="false" outlineLevel="0" collapsed="false">
      <c r="A208" s="14" t="s">
        <v>616</v>
      </c>
      <c r="B208" s="15" t="n">
        <v>46010</v>
      </c>
      <c r="C208" s="14" t="s">
        <v>341</v>
      </c>
      <c r="D208" s="14" t="s">
        <v>342</v>
      </c>
      <c r="E208" s="14" t="s">
        <v>139</v>
      </c>
      <c r="F208" s="14" t="s">
        <v>152</v>
      </c>
      <c r="G208" s="14" t="s">
        <v>141</v>
      </c>
      <c r="H208" s="14" t="s">
        <v>62</v>
      </c>
      <c r="I208" s="14" t="str">
        <f aca="false">IFERROR(INDEX(Calculations!$B$6:$B$27,MATCH(H208,Calculations!$A$6:$A$27,0)),"Unknown")</f>
        <v>Mobile Accessories</v>
      </c>
      <c r="J208" s="14" t="n">
        <v>4</v>
      </c>
      <c r="K208" s="16" t="n">
        <v>349.14</v>
      </c>
      <c r="L208" s="17" t="n">
        <v>0.1</v>
      </c>
      <c r="M208" s="18" t="n">
        <f aca="false">J208*K208*(1-L208)</f>
        <v>1256.904</v>
      </c>
      <c r="N208" s="18" t="n">
        <f aca="false">J208*IFERROR(INDEX(Calculations!$C$6:$C$27,MATCH(H208,Calculations!$A$6:$A$27,0)),0)</f>
        <v>520</v>
      </c>
      <c r="O208" s="18" t="n">
        <f aca="false">M208-N208</f>
        <v>736.904</v>
      </c>
      <c r="P208" s="18" t="n">
        <f aca="false">M208*IFERROR(INDEX(Calculations!$F$6:$F$11,MATCH(I208,Calculations!$E$6:$E$11,0)),0.1)</f>
        <v>150.82848</v>
      </c>
      <c r="Q208" s="18" t="n">
        <f aca="false">O208-P208</f>
        <v>586.07552</v>
      </c>
      <c r="R208" s="14" t="s">
        <v>130</v>
      </c>
      <c r="S208" s="14" t="s">
        <v>125</v>
      </c>
    </row>
    <row r="209" customFormat="false" ht="15" hidden="false" customHeight="false" outlineLevel="0" collapsed="false">
      <c r="A209" s="14" t="s">
        <v>617</v>
      </c>
      <c r="B209" s="15" t="n">
        <v>46011</v>
      </c>
      <c r="C209" s="14" t="s">
        <v>329</v>
      </c>
      <c r="D209" s="14" t="s">
        <v>330</v>
      </c>
      <c r="E209" s="14" t="s">
        <v>139</v>
      </c>
      <c r="F209" s="14" t="s">
        <v>140</v>
      </c>
      <c r="G209" s="14" t="s">
        <v>123</v>
      </c>
      <c r="H209" s="14" t="s">
        <v>69</v>
      </c>
      <c r="I209" s="14" t="str">
        <f aca="false">IFERROR(INDEX(Calculations!$B$6:$B$27,MATCH(H209,Calculations!$A$6:$A$27,0)),"Unknown")</f>
        <v>Smart Home</v>
      </c>
      <c r="J209" s="14" t="n">
        <v>1</v>
      </c>
      <c r="K209" s="16" t="n">
        <v>817.07</v>
      </c>
      <c r="L209" s="17" t="n">
        <v>0.05</v>
      </c>
      <c r="M209" s="18" t="n">
        <f aca="false">J209*K209*(1-L209)</f>
        <v>776.2165</v>
      </c>
      <c r="N209" s="18" t="n">
        <f aca="false">J209*IFERROR(INDEX(Calculations!$C$6:$C$27,MATCH(H209,Calculations!$A$6:$A$27,0)),0)</f>
        <v>350</v>
      </c>
      <c r="O209" s="18" t="n">
        <f aca="false">M209-N209</f>
        <v>426.2165</v>
      </c>
      <c r="P209" s="18" t="n">
        <f aca="false">M209*IFERROR(INDEX(Calculations!$F$6:$F$11,MATCH(I209,Calculations!$E$6:$E$11,0)),0.1)</f>
        <v>85.383815</v>
      </c>
      <c r="Q209" s="18" t="n">
        <f aca="false">O209-P209</f>
        <v>340.832685</v>
      </c>
      <c r="R209" s="14" t="s">
        <v>243</v>
      </c>
      <c r="S209" s="14" t="s">
        <v>125</v>
      </c>
    </row>
    <row r="210" customFormat="false" ht="15" hidden="false" customHeight="false" outlineLevel="0" collapsed="false">
      <c r="A210" s="14" t="s">
        <v>618</v>
      </c>
      <c r="B210" s="15" t="n">
        <v>46011</v>
      </c>
      <c r="C210" s="14" t="s">
        <v>607</v>
      </c>
      <c r="D210" s="14" t="s">
        <v>608</v>
      </c>
      <c r="E210" s="14" t="s">
        <v>145</v>
      </c>
      <c r="F210" s="14" t="s">
        <v>174</v>
      </c>
      <c r="G210" s="14" t="s">
        <v>175</v>
      </c>
      <c r="H210" s="14" t="s">
        <v>72</v>
      </c>
      <c r="I210" s="14" t="str">
        <f aca="false">IFERROR(INDEX(Calculations!$B$6:$B$27,MATCH(H210,Calculations!$A$6:$A$27,0)),"Unknown")</f>
        <v>Smart Home</v>
      </c>
      <c r="J210" s="14" t="n">
        <v>2</v>
      </c>
      <c r="K210" s="16" t="n">
        <v>4635.29</v>
      </c>
      <c r="L210" s="17" t="n">
        <v>0.15</v>
      </c>
      <c r="M210" s="18" t="n">
        <f aca="false">J210*K210*(1-L210)</f>
        <v>7879.993</v>
      </c>
      <c r="N210" s="18" t="n">
        <f aca="false">J210*IFERROR(INDEX(Calculations!$C$6:$C$27,MATCH(H210,Calculations!$A$6:$A$27,0)),0)</f>
        <v>5200</v>
      </c>
      <c r="O210" s="18" t="n">
        <f aca="false">M210-N210</f>
        <v>2679.993</v>
      </c>
      <c r="P210" s="18" t="n">
        <f aca="false">M210*IFERROR(INDEX(Calculations!$F$6:$F$11,MATCH(I210,Calculations!$E$6:$E$11,0)),0.1)</f>
        <v>866.79923</v>
      </c>
      <c r="Q210" s="18" t="n">
        <f aca="false">O210-P210</f>
        <v>1813.19377</v>
      </c>
      <c r="R210" s="14" t="s">
        <v>165</v>
      </c>
      <c r="S210" s="14" t="s">
        <v>125</v>
      </c>
    </row>
    <row r="211" customFormat="false" ht="15" hidden="false" customHeight="false" outlineLevel="0" collapsed="false">
      <c r="A211" s="14" t="s">
        <v>619</v>
      </c>
      <c r="B211" s="15" t="n">
        <v>46012</v>
      </c>
      <c r="C211" s="14" t="s">
        <v>159</v>
      </c>
      <c r="D211" s="14" t="s">
        <v>160</v>
      </c>
      <c r="E211" s="14" t="s">
        <v>156</v>
      </c>
      <c r="F211" s="14" t="s">
        <v>157</v>
      </c>
      <c r="G211" s="14" t="s">
        <v>141</v>
      </c>
      <c r="H211" s="14" t="s">
        <v>72</v>
      </c>
      <c r="I211" s="14" t="str">
        <f aca="false">IFERROR(INDEX(Calculations!$B$6:$B$27,MATCH(H211,Calculations!$A$6:$A$27,0)),"Unknown")</f>
        <v>Smart Home</v>
      </c>
      <c r="J211" s="14" t="n">
        <v>2</v>
      </c>
      <c r="K211" s="16" t="n">
        <v>4494.7</v>
      </c>
      <c r="L211" s="17" t="n">
        <v>0.1</v>
      </c>
      <c r="M211" s="18" t="n">
        <f aca="false">J211*K211*(1-L211)</f>
        <v>8090.46</v>
      </c>
      <c r="N211" s="18" t="n">
        <f aca="false">J211*IFERROR(INDEX(Calculations!$C$6:$C$27,MATCH(H211,Calculations!$A$6:$A$27,0)),0)</f>
        <v>5200</v>
      </c>
      <c r="O211" s="18" t="n">
        <f aca="false">M211-N211</f>
        <v>2890.46</v>
      </c>
      <c r="P211" s="18" t="n">
        <f aca="false">M211*IFERROR(INDEX(Calculations!$F$6:$F$11,MATCH(I211,Calculations!$E$6:$E$11,0)),0.1)</f>
        <v>889.9506</v>
      </c>
      <c r="Q211" s="18" t="n">
        <f aca="false">O211-P211</f>
        <v>2000.5094</v>
      </c>
      <c r="R211" s="14" t="s">
        <v>243</v>
      </c>
      <c r="S211" s="14" t="s">
        <v>210</v>
      </c>
    </row>
    <row r="212" customFormat="false" ht="15" hidden="false" customHeight="false" outlineLevel="0" collapsed="false">
      <c r="A212" s="14" t="s">
        <v>620</v>
      </c>
      <c r="B212" s="15" t="n">
        <v>46013</v>
      </c>
      <c r="C212" s="14" t="s">
        <v>621</v>
      </c>
      <c r="D212" s="14" t="s">
        <v>622</v>
      </c>
      <c r="E212" s="14" t="s">
        <v>145</v>
      </c>
      <c r="F212" s="14" t="s">
        <v>174</v>
      </c>
      <c r="G212" s="14" t="s">
        <v>147</v>
      </c>
      <c r="H212" s="14" t="s">
        <v>76</v>
      </c>
      <c r="I212" s="14" t="str">
        <f aca="false">IFERROR(INDEX(Calculations!$B$6:$B$27,MATCH(H212,Calculations!$A$6:$A$27,0)),"Unknown")</f>
        <v>Cameras</v>
      </c>
      <c r="J212" s="14" t="n">
        <v>1</v>
      </c>
      <c r="K212" s="16" t="n">
        <v>7293.44</v>
      </c>
      <c r="L212" s="17" t="n">
        <v>0.1</v>
      </c>
      <c r="M212" s="18" t="n">
        <f aca="false">J212*K212*(1-L212)</f>
        <v>6564.096</v>
      </c>
      <c r="N212" s="18" t="n">
        <f aca="false">J212*IFERROR(INDEX(Calculations!$C$6:$C$27,MATCH(H212,Calculations!$A$6:$A$27,0)),0)</f>
        <v>4200</v>
      </c>
      <c r="O212" s="18" t="n">
        <f aca="false">M212-N212</f>
        <v>2364.096</v>
      </c>
      <c r="P212" s="18" t="n">
        <f aca="false">M212*IFERROR(INDEX(Calculations!$F$6:$F$11,MATCH(I212,Calculations!$E$6:$E$11,0)),0.1)</f>
        <v>492.3072</v>
      </c>
      <c r="Q212" s="18" t="n">
        <f aca="false">O212-P212</f>
        <v>1871.7888</v>
      </c>
      <c r="R212" s="14" t="s">
        <v>165</v>
      </c>
      <c r="S212" s="14" t="s">
        <v>125</v>
      </c>
    </row>
    <row r="213" customFormat="false" ht="15" hidden="false" customHeight="false" outlineLevel="0" collapsed="false">
      <c r="A213" s="14" t="s">
        <v>623</v>
      </c>
      <c r="B213" s="15" t="n">
        <v>46014</v>
      </c>
      <c r="C213" s="14" t="s">
        <v>555</v>
      </c>
      <c r="D213" s="14" t="s">
        <v>556</v>
      </c>
      <c r="E213" s="14" t="s">
        <v>145</v>
      </c>
      <c r="F213" s="14" t="s">
        <v>174</v>
      </c>
      <c r="G213" s="14" t="s">
        <v>123</v>
      </c>
      <c r="H213" s="14" t="s">
        <v>67</v>
      </c>
      <c r="I213" s="14" t="str">
        <f aca="false">IFERROR(INDEX(Calculations!$B$6:$B$27,MATCH(H213,Calculations!$A$6:$A$27,0)),"Unknown")</f>
        <v>Computer Peripherals</v>
      </c>
      <c r="J213" s="14" t="n">
        <v>2</v>
      </c>
      <c r="K213" s="16" t="n">
        <v>1775.74</v>
      </c>
      <c r="L213" s="17" t="n">
        <v>0.1</v>
      </c>
      <c r="M213" s="18" t="n">
        <f aca="false">J213*K213*(1-L213)</f>
        <v>3196.332</v>
      </c>
      <c r="N213" s="18" t="n">
        <f aca="false">J213*IFERROR(INDEX(Calculations!$C$6:$C$27,MATCH(H213,Calculations!$A$6:$A$27,0)),0)</f>
        <v>1800</v>
      </c>
      <c r="O213" s="18" t="n">
        <f aca="false">M213-N213</f>
        <v>1396.332</v>
      </c>
      <c r="P213" s="18" t="n">
        <f aca="false">M213*IFERROR(INDEX(Calculations!$F$6:$F$11,MATCH(I213,Calculations!$E$6:$E$11,0)),0.1)</f>
        <v>255.70656</v>
      </c>
      <c r="Q213" s="18" t="n">
        <f aca="false">O213-P213</f>
        <v>1140.62544</v>
      </c>
      <c r="R213" s="14" t="s">
        <v>165</v>
      </c>
      <c r="S213" s="14" t="s">
        <v>125</v>
      </c>
    </row>
    <row r="214" customFormat="false" ht="15" hidden="false" customHeight="false" outlineLevel="0" collapsed="false">
      <c r="A214" s="14" t="s">
        <v>624</v>
      </c>
      <c r="B214" s="15" t="n">
        <v>46015</v>
      </c>
      <c r="C214" s="14" t="s">
        <v>180</v>
      </c>
      <c r="D214" s="14" t="s">
        <v>181</v>
      </c>
      <c r="E214" s="14" t="s">
        <v>139</v>
      </c>
      <c r="F214" s="14" t="s">
        <v>140</v>
      </c>
      <c r="G214" s="14" t="s">
        <v>209</v>
      </c>
      <c r="H214" s="14" t="s">
        <v>56</v>
      </c>
      <c r="I214" s="14" t="str">
        <f aca="false">IFERROR(INDEX(Calculations!$B$6:$B$27,MATCH(H214,Calculations!$A$6:$A$27,0)),"Unknown")</f>
        <v>Audio</v>
      </c>
      <c r="J214" s="14" t="n">
        <v>3</v>
      </c>
      <c r="K214" s="16" t="n">
        <v>882.66</v>
      </c>
      <c r="L214" s="17" t="n">
        <v>0.15</v>
      </c>
      <c r="M214" s="18" t="n">
        <f aca="false">J214*K214*(1-L214)</f>
        <v>2250.783</v>
      </c>
      <c r="N214" s="18" t="n">
        <f aca="false">J214*IFERROR(INDEX(Calculations!$C$6:$C$27,MATCH(H214,Calculations!$A$6:$A$27,0)),0)</f>
        <v>1350</v>
      </c>
      <c r="O214" s="18" t="n">
        <f aca="false">M214-N214</f>
        <v>900.783</v>
      </c>
      <c r="P214" s="18" t="n">
        <f aca="false">M214*IFERROR(INDEX(Calculations!$F$6:$F$11,MATCH(I214,Calculations!$E$6:$E$11,0)),0.1)</f>
        <v>225.0783</v>
      </c>
      <c r="Q214" s="18" t="n">
        <f aca="false">O214-P214</f>
        <v>675.7047</v>
      </c>
      <c r="R214" s="14" t="s">
        <v>130</v>
      </c>
      <c r="S214" s="14" t="s">
        <v>125</v>
      </c>
    </row>
    <row r="215" customFormat="false" ht="15" hidden="false" customHeight="false" outlineLevel="0" collapsed="false">
      <c r="A215" s="14" t="s">
        <v>625</v>
      </c>
      <c r="B215" s="15" t="n">
        <v>46015</v>
      </c>
      <c r="C215" s="14" t="s">
        <v>626</v>
      </c>
      <c r="D215" s="14" t="s">
        <v>627</v>
      </c>
      <c r="E215" s="14" t="s">
        <v>145</v>
      </c>
      <c r="F215" s="14" t="s">
        <v>174</v>
      </c>
      <c r="G215" s="14" t="s">
        <v>170</v>
      </c>
      <c r="H215" s="14" t="s">
        <v>63</v>
      </c>
      <c r="I215" s="14" t="str">
        <f aca="false">IFERROR(INDEX(Calculations!$B$6:$B$27,MATCH(H215,Calculations!$A$6:$A$27,0)),"Unknown")</f>
        <v>Mobile Accessories</v>
      </c>
      <c r="J215" s="14" t="n">
        <v>2</v>
      </c>
      <c r="K215" s="16" t="n">
        <v>338.71</v>
      </c>
      <c r="L215" s="17" t="n">
        <v>0.15</v>
      </c>
      <c r="M215" s="18" t="n">
        <f aca="false">J215*K215*(1-L215)</f>
        <v>575.807</v>
      </c>
      <c r="N215" s="18" t="n">
        <f aca="false">J215*IFERROR(INDEX(Calculations!$C$6:$C$27,MATCH(H215,Calculations!$A$6:$A$27,0)),0)</f>
        <v>300</v>
      </c>
      <c r="O215" s="18" t="n">
        <f aca="false">M215-N215</f>
        <v>275.807</v>
      </c>
      <c r="P215" s="18" t="n">
        <f aca="false">M215*IFERROR(INDEX(Calculations!$F$6:$F$11,MATCH(I215,Calculations!$E$6:$E$11,0)),0.1)</f>
        <v>69.09684</v>
      </c>
      <c r="Q215" s="18" t="n">
        <f aca="false">O215-P215</f>
        <v>206.71016</v>
      </c>
      <c r="R215" s="14" t="s">
        <v>130</v>
      </c>
      <c r="S215" s="14" t="s">
        <v>125</v>
      </c>
    </row>
    <row r="216" customFormat="false" ht="15" hidden="false" customHeight="false" outlineLevel="0" collapsed="false">
      <c r="A216" s="14" t="s">
        <v>628</v>
      </c>
      <c r="B216" s="15" t="n">
        <v>46016</v>
      </c>
      <c r="C216" s="14" t="s">
        <v>455</v>
      </c>
      <c r="D216" s="14" t="s">
        <v>456</v>
      </c>
      <c r="E216" s="14" t="s">
        <v>194</v>
      </c>
      <c r="F216" s="14" t="s">
        <v>195</v>
      </c>
      <c r="G216" s="14" t="s">
        <v>170</v>
      </c>
      <c r="H216" s="14" t="s">
        <v>75</v>
      </c>
      <c r="I216" s="14" t="str">
        <f aca="false">IFERROR(INDEX(Calculations!$B$6:$B$27,MATCH(H216,Calculations!$A$6:$A$27,0)),"Unknown")</f>
        <v>Wearables</v>
      </c>
      <c r="J216" s="14" t="n">
        <v>1</v>
      </c>
      <c r="K216" s="16" t="n">
        <v>3202.86</v>
      </c>
      <c r="L216" s="17" t="n">
        <v>0</v>
      </c>
      <c r="M216" s="18" t="n">
        <f aca="false">J216*K216*(1-L216)</f>
        <v>3202.86</v>
      </c>
      <c r="N216" s="18" t="n">
        <f aca="false">J216*IFERROR(INDEX(Calculations!$C$6:$C$27,MATCH(H216,Calculations!$A$6:$A$27,0)),0)</f>
        <v>1900</v>
      </c>
      <c r="O216" s="18" t="n">
        <f aca="false">M216-N216</f>
        <v>1302.86</v>
      </c>
      <c r="P216" s="18" t="n">
        <f aca="false">M216*IFERROR(INDEX(Calculations!$F$6:$F$11,MATCH(I216,Calculations!$E$6:$E$11,0)),0.1)</f>
        <v>288.2574</v>
      </c>
      <c r="Q216" s="18" t="n">
        <f aca="false">O216-P216</f>
        <v>1014.6026</v>
      </c>
      <c r="R216" s="14" t="s">
        <v>130</v>
      </c>
      <c r="S216" s="14" t="s">
        <v>125</v>
      </c>
    </row>
    <row r="217" customFormat="false" ht="15" hidden="false" customHeight="false" outlineLevel="0" collapsed="false">
      <c r="A217" s="14" t="s">
        <v>629</v>
      </c>
      <c r="B217" s="15" t="n">
        <v>46016</v>
      </c>
      <c r="C217" s="14" t="s">
        <v>630</v>
      </c>
      <c r="D217" s="14" t="s">
        <v>631</v>
      </c>
      <c r="E217" s="14" t="s">
        <v>194</v>
      </c>
      <c r="F217" s="14" t="s">
        <v>195</v>
      </c>
      <c r="G217" s="14" t="s">
        <v>175</v>
      </c>
      <c r="H217" s="14" t="s">
        <v>66</v>
      </c>
      <c r="I217" s="14" t="str">
        <f aca="false">IFERROR(INDEX(Calculations!$B$6:$B$27,MATCH(H217,Calculations!$A$6:$A$27,0)),"Unknown")</f>
        <v>Computer Peripherals</v>
      </c>
      <c r="J217" s="14" t="n">
        <v>4</v>
      </c>
      <c r="K217" s="16" t="n">
        <v>12572.07</v>
      </c>
      <c r="L217" s="17" t="n">
        <v>0.05</v>
      </c>
      <c r="M217" s="18" t="n">
        <f aca="false">J217*K217*(1-L217)</f>
        <v>47773.866</v>
      </c>
      <c r="N217" s="18" t="n">
        <f aca="false">J217*IFERROR(INDEX(Calculations!$C$6:$C$27,MATCH(H217,Calculations!$A$6:$A$27,0)),0)</f>
        <v>28800</v>
      </c>
      <c r="O217" s="18" t="n">
        <f aca="false">M217-N217</f>
        <v>18973.866</v>
      </c>
      <c r="P217" s="18" t="n">
        <f aca="false">M217*IFERROR(INDEX(Calculations!$F$6:$F$11,MATCH(I217,Calculations!$E$6:$E$11,0)),0.1)</f>
        <v>3821.90928</v>
      </c>
      <c r="Q217" s="18" t="n">
        <f aca="false">O217-P217</f>
        <v>15151.95672</v>
      </c>
      <c r="R217" s="14" t="s">
        <v>124</v>
      </c>
      <c r="S217" s="14" t="s">
        <v>125</v>
      </c>
    </row>
    <row r="218" customFormat="false" ht="15" hidden="false" customHeight="false" outlineLevel="0" collapsed="false">
      <c r="A218" s="14" t="s">
        <v>632</v>
      </c>
      <c r="B218" s="15" t="n">
        <v>46016</v>
      </c>
      <c r="C218" s="14" t="s">
        <v>633</v>
      </c>
      <c r="D218" s="14" t="s">
        <v>634</v>
      </c>
      <c r="E218" s="14" t="s">
        <v>156</v>
      </c>
      <c r="F218" s="14" t="s">
        <v>157</v>
      </c>
      <c r="G218" s="14" t="s">
        <v>141</v>
      </c>
      <c r="H218" s="14" t="s">
        <v>56</v>
      </c>
      <c r="I218" s="14" t="str">
        <f aca="false">IFERROR(INDEX(Calculations!$B$6:$B$27,MATCH(H218,Calculations!$A$6:$A$27,0)),"Unknown")</f>
        <v>Audio</v>
      </c>
      <c r="J218" s="14" t="n">
        <v>4</v>
      </c>
      <c r="K218" s="16" t="n">
        <v>882.04</v>
      </c>
      <c r="L218" s="17" t="n">
        <v>0.1</v>
      </c>
      <c r="M218" s="18" t="n">
        <f aca="false">J218*K218*(1-L218)</f>
        <v>3175.344</v>
      </c>
      <c r="N218" s="18" t="n">
        <f aca="false">J218*IFERROR(INDEX(Calculations!$C$6:$C$27,MATCH(H218,Calculations!$A$6:$A$27,0)),0)</f>
        <v>1800</v>
      </c>
      <c r="O218" s="18" t="n">
        <f aca="false">M218-N218</f>
        <v>1375.344</v>
      </c>
      <c r="P218" s="18" t="n">
        <f aca="false">M218*IFERROR(INDEX(Calculations!$F$6:$F$11,MATCH(I218,Calculations!$E$6:$E$11,0)),0.1)</f>
        <v>317.5344</v>
      </c>
      <c r="Q218" s="18" t="n">
        <f aca="false">O218-P218</f>
        <v>1057.8096</v>
      </c>
      <c r="R218" s="14" t="s">
        <v>135</v>
      </c>
      <c r="S218" s="14" t="s">
        <v>125</v>
      </c>
    </row>
    <row r="219" customFormat="false" ht="15" hidden="false" customHeight="false" outlineLevel="0" collapsed="false">
      <c r="A219" s="14" t="s">
        <v>635</v>
      </c>
      <c r="B219" s="15" t="n">
        <v>46017</v>
      </c>
      <c r="C219" s="14" t="s">
        <v>601</v>
      </c>
      <c r="D219" s="14" t="s">
        <v>602</v>
      </c>
      <c r="E219" s="14" t="s">
        <v>139</v>
      </c>
      <c r="F219" s="14" t="s">
        <v>152</v>
      </c>
      <c r="G219" s="14" t="s">
        <v>209</v>
      </c>
      <c r="H219" s="14" t="s">
        <v>64</v>
      </c>
      <c r="I219" s="14" t="str">
        <f aca="false">IFERROR(INDEX(Calculations!$B$6:$B$27,MATCH(H219,Calculations!$A$6:$A$27,0)),"Unknown")</f>
        <v>Computer Peripherals</v>
      </c>
      <c r="J219" s="14" t="n">
        <v>2</v>
      </c>
      <c r="K219" s="16" t="n">
        <v>801.76</v>
      </c>
      <c r="L219" s="17" t="n">
        <v>0.15</v>
      </c>
      <c r="M219" s="18" t="n">
        <f aca="false">J219*K219*(1-L219)</f>
        <v>1362.992</v>
      </c>
      <c r="N219" s="18" t="n">
        <f aca="false">J219*IFERROR(INDEX(Calculations!$C$6:$C$27,MATCH(H219,Calculations!$A$6:$A$27,0)),0)</f>
        <v>700</v>
      </c>
      <c r="O219" s="18" t="n">
        <f aca="false">M219-N219</f>
        <v>662.992</v>
      </c>
      <c r="P219" s="18" t="n">
        <f aca="false">M219*IFERROR(INDEX(Calculations!$F$6:$F$11,MATCH(I219,Calculations!$E$6:$E$11,0)),0.1)</f>
        <v>109.03936</v>
      </c>
      <c r="Q219" s="18" t="n">
        <f aca="false">O219-P219</f>
        <v>553.95264</v>
      </c>
      <c r="R219" s="14" t="s">
        <v>124</v>
      </c>
      <c r="S219" s="14" t="s">
        <v>125</v>
      </c>
    </row>
    <row r="220" customFormat="false" ht="15" hidden="false" customHeight="false" outlineLevel="0" collapsed="false">
      <c r="A220" s="14" t="s">
        <v>636</v>
      </c>
      <c r="B220" s="15" t="n">
        <v>46017</v>
      </c>
      <c r="C220" s="14" t="s">
        <v>344</v>
      </c>
      <c r="D220" s="14" t="s">
        <v>345</v>
      </c>
      <c r="E220" s="14" t="s">
        <v>145</v>
      </c>
      <c r="F220" s="14" t="s">
        <v>174</v>
      </c>
      <c r="G220" s="14" t="s">
        <v>209</v>
      </c>
      <c r="H220" s="14" t="s">
        <v>63</v>
      </c>
      <c r="I220" s="14" t="str">
        <f aca="false">IFERROR(INDEX(Calculations!$B$6:$B$27,MATCH(H220,Calculations!$A$6:$A$27,0)),"Unknown")</f>
        <v>Mobile Accessories</v>
      </c>
      <c r="J220" s="14" t="n">
        <v>2</v>
      </c>
      <c r="K220" s="16" t="n">
        <v>355.95</v>
      </c>
      <c r="L220" s="17" t="n">
        <v>0.05</v>
      </c>
      <c r="M220" s="18" t="n">
        <f aca="false">J220*K220*(1-L220)</f>
        <v>676.305</v>
      </c>
      <c r="N220" s="18" t="n">
        <f aca="false">J220*IFERROR(INDEX(Calculations!$C$6:$C$27,MATCH(H220,Calculations!$A$6:$A$27,0)),0)</f>
        <v>300</v>
      </c>
      <c r="O220" s="18" t="n">
        <f aca="false">M220-N220</f>
        <v>376.305</v>
      </c>
      <c r="P220" s="18" t="n">
        <f aca="false">M220*IFERROR(INDEX(Calculations!$F$6:$F$11,MATCH(I220,Calculations!$E$6:$E$11,0)),0.1)</f>
        <v>81.1566</v>
      </c>
      <c r="Q220" s="18" t="n">
        <f aca="false">O220-P220</f>
        <v>295.1484</v>
      </c>
      <c r="R220" s="14" t="s">
        <v>124</v>
      </c>
      <c r="S220" s="14" t="s">
        <v>125</v>
      </c>
    </row>
    <row r="221" customFormat="false" ht="15" hidden="false" customHeight="false" outlineLevel="0" collapsed="false">
      <c r="A221" s="14" t="s">
        <v>637</v>
      </c>
      <c r="B221" s="15" t="n">
        <v>46018</v>
      </c>
      <c r="C221" s="14" t="s">
        <v>154</v>
      </c>
      <c r="D221" s="14" t="s">
        <v>155</v>
      </c>
      <c r="E221" s="14" t="s">
        <v>156</v>
      </c>
      <c r="F221" s="14" t="s">
        <v>157</v>
      </c>
      <c r="G221" s="14" t="s">
        <v>175</v>
      </c>
      <c r="H221" s="14" t="s">
        <v>58</v>
      </c>
      <c r="I221" s="14" t="str">
        <f aca="false">IFERROR(INDEX(Calculations!$B$6:$B$27,MATCH(H221,Calculations!$A$6:$A$27,0)),"Unknown")</f>
        <v>Mobile Accessories</v>
      </c>
      <c r="J221" s="14" t="n">
        <v>1</v>
      </c>
      <c r="K221" s="16" t="n">
        <v>507.55</v>
      </c>
      <c r="L221" s="17" t="n">
        <v>0.05</v>
      </c>
      <c r="M221" s="18" t="n">
        <f aca="false">J221*K221*(1-L221)</f>
        <v>482.1725</v>
      </c>
      <c r="N221" s="18" t="n">
        <f aca="false">J221*IFERROR(INDEX(Calculations!$C$6:$C$27,MATCH(H221,Calculations!$A$6:$A$27,0)),0)</f>
        <v>220</v>
      </c>
      <c r="O221" s="18" t="n">
        <f aca="false">M221-N221</f>
        <v>262.1725</v>
      </c>
      <c r="P221" s="18" t="n">
        <f aca="false">M221*IFERROR(INDEX(Calculations!$F$6:$F$11,MATCH(I221,Calculations!$E$6:$E$11,0)),0.1)</f>
        <v>57.8607</v>
      </c>
      <c r="Q221" s="18" t="n">
        <f aca="false">O221-P221</f>
        <v>204.3118</v>
      </c>
      <c r="R221" s="14" t="s">
        <v>124</v>
      </c>
      <c r="S221" s="14" t="s">
        <v>125</v>
      </c>
    </row>
    <row r="222" customFormat="false" ht="15" hidden="false" customHeight="false" outlineLevel="0" collapsed="false">
      <c r="A222" s="14" t="s">
        <v>638</v>
      </c>
      <c r="B222" s="15" t="n">
        <v>46018</v>
      </c>
      <c r="C222" s="14" t="s">
        <v>639</v>
      </c>
      <c r="D222" s="14" t="s">
        <v>640</v>
      </c>
      <c r="E222" s="14" t="s">
        <v>121</v>
      </c>
      <c r="F222" s="14" t="s">
        <v>122</v>
      </c>
      <c r="G222" s="14" t="s">
        <v>209</v>
      </c>
      <c r="H222" s="14" t="s">
        <v>58</v>
      </c>
      <c r="I222" s="14" t="str">
        <f aca="false">IFERROR(INDEX(Calculations!$B$6:$B$27,MATCH(H222,Calculations!$A$6:$A$27,0)),"Unknown")</f>
        <v>Mobile Accessories</v>
      </c>
      <c r="J222" s="14" t="n">
        <v>3</v>
      </c>
      <c r="K222" s="16" t="n">
        <v>503.7</v>
      </c>
      <c r="L222" s="17" t="n">
        <v>0</v>
      </c>
      <c r="M222" s="18" t="n">
        <f aca="false">J222*K222*(1-L222)</f>
        <v>1511.1</v>
      </c>
      <c r="N222" s="18" t="n">
        <f aca="false">J222*IFERROR(INDEX(Calculations!$C$6:$C$27,MATCH(H222,Calculations!$A$6:$A$27,0)),0)</f>
        <v>660</v>
      </c>
      <c r="O222" s="18" t="n">
        <f aca="false">M222-N222</f>
        <v>851.1</v>
      </c>
      <c r="P222" s="18" t="n">
        <f aca="false">M222*IFERROR(INDEX(Calculations!$F$6:$F$11,MATCH(I222,Calculations!$E$6:$E$11,0)),0.1)</f>
        <v>181.332</v>
      </c>
      <c r="Q222" s="18" t="n">
        <f aca="false">O222-P222</f>
        <v>669.768</v>
      </c>
      <c r="R222" s="14" t="s">
        <v>135</v>
      </c>
      <c r="S222" s="14" t="s">
        <v>125</v>
      </c>
    </row>
    <row r="223" customFormat="false" ht="15" hidden="false" customHeight="false" outlineLevel="0" collapsed="false">
      <c r="A223" s="14" t="s">
        <v>641</v>
      </c>
      <c r="B223" s="15" t="n">
        <v>46019</v>
      </c>
      <c r="C223" s="14" t="s">
        <v>642</v>
      </c>
      <c r="D223" s="14" t="s">
        <v>643</v>
      </c>
      <c r="E223" s="14" t="s">
        <v>194</v>
      </c>
      <c r="F223" s="14" t="s">
        <v>195</v>
      </c>
      <c r="G223" s="14" t="s">
        <v>123</v>
      </c>
      <c r="H223" s="14" t="s">
        <v>58</v>
      </c>
      <c r="I223" s="14" t="str">
        <f aca="false">IFERROR(INDEX(Calculations!$B$6:$B$27,MATCH(H223,Calculations!$A$6:$A$27,0)),"Unknown")</f>
        <v>Mobile Accessories</v>
      </c>
      <c r="J223" s="14" t="n">
        <v>1</v>
      </c>
      <c r="K223" s="16" t="n">
        <v>493.12</v>
      </c>
      <c r="L223" s="17" t="n">
        <v>0.05</v>
      </c>
      <c r="M223" s="18" t="n">
        <f aca="false">J223*K223*(1-L223)</f>
        <v>468.464</v>
      </c>
      <c r="N223" s="18" t="n">
        <f aca="false">J223*IFERROR(INDEX(Calculations!$C$6:$C$27,MATCH(H223,Calculations!$A$6:$A$27,0)),0)</f>
        <v>220</v>
      </c>
      <c r="O223" s="18" t="n">
        <f aca="false">M223-N223</f>
        <v>248.464</v>
      </c>
      <c r="P223" s="18" t="n">
        <f aca="false">M223*IFERROR(INDEX(Calculations!$F$6:$F$11,MATCH(I223,Calculations!$E$6:$E$11,0)),0.1)</f>
        <v>56.21568</v>
      </c>
      <c r="Q223" s="18" t="n">
        <f aca="false">O223-P223</f>
        <v>192.24832</v>
      </c>
      <c r="R223" s="14" t="s">
        <v>130</v>
      </c>
      <c r="S223" s="14" t="s">
        <v>125</v>
      </c>
    </row>
    <row r="224" customFormat="false" ht="15" hidden="false" customHeight="false" outlineLevel="0" collapsed="false">
      <c r="A224" s="14" t="s">
        <v>644</v>
      </c>
      <c r="B224" s="15" t="n">
        <v>46021</v>
      </c>
      <c r="C224" s="14" t="s">
        <v>358</v>
      </c>
      <c r="D224" s="14" t="s">
        <v>359</v>
      </c>
      <c r="E224" s="14" t="s">
        <v>139</v>
      </c>
      <c r="F224" s="14" t="s">
        <v>152</v>
      </c>
      <c r="G224" s="14" t="s">
        <v>161</v>
      </c>
      <c r="H224" s="14" t="s">
        <v>77</v>
      </c>
      <c r="I224" s="14" t="str">
        <f aca="false">IFERROR(INDEX(Calculations!$B$6:$B$27,MATCH(H224,Calculations!$A$6:$A$27,0)),"Unknown")</f>
        <v>Cameras</v>
      </c>
      <c r="J224" s="14" t="n">
        <v>2</v>
      </c>
      <c r="K224" s="16" t="n">
        <v>5594.75</v>
      </c>
      <c r="L224" s="17" t="n">
        <v>0</v>
      </c>
      <c r="M224" s="18" t="n">
        <f aca="false">J224*K224*(1-L224)</f>
        <v>11189.5</v>
      </c>
      <c r="N224" s="18" t="n">
        <f aca="false">J224*IFERROR(INDEX(Calculations!$C$6:$C$27,MATCH(H224,Calculations!$A$6:$A$27,0)),0)</f>
        <v>6200</v>
      </c>
      <c r="O224" s="18" t="n">
        <f aca="false">M224-N224</f>
        <v>4989.5</v>
      </c>
      <c r="P224" s="18" t="n">
        <f aca="false">M224*IFERROR(INDEX(Calculations!$F$6:$F$11,MATCH(I224,Calculations!$E$6:$E$11,0)),0.1)</f>
        <v>839.2125</v>
      </c>
      <c r="Q224" s="18" t="n">
        <f aca="false">O224-P224</f>
        <v>4150.2875</v>
      </c>
      <c r="R224" s="14" t="s">
        <v>124</v>
      </c>
      <c r="S224" s="14" t="s">
        <v>125</v>
      </c>
    </row>
    <row r="225" customFormat="false" ht="15" hidden="false" customHeight="false" outlineLevel="0" collapsed="false">
      <c r="A225" s="14" t="s">
        <v>645</v>
      </c>
      <c r="B225" s="15" t="n">
        <v>46021</v>
      </c>
      <c r="C225" s="14" t="s">
        <v>646</v>
      </c>
      <c r="D225" s="14" t="s">
        <v>647</v>
      </c>
      <c r="E225" s="14" t="s">
        <v>145</v>
      </c>
      <c r="F225" s="14" t="s">
        <v>146</v>
      </c>
      <c r="G225" s="14" t="s">
        <v>147</v>
      </c>
      <c r="H225" s="14" t="s">
        <v>52</v>
      </c>
      <c r="I225" s="14" t="str">
        <f aca="false">IFERROR(INDEX(Calculations!$B$6:$B$27,MATCH(H225,Calculations!$A$6:$A$27,0)),"Unknown")</f>
        <v>Audio</v>
      </c>
      <c r="J225" s="14" t="n">
        <v>1</v>
      </c>
      <c r="K225" s="16" t="n">
        <v>1835.55</v>
      </c>
      <c r="L225" s="17" t="n">
        <v>0</v>
      </c>
      <c r="M225" s="18" t="n">
        <f aca="false">J225*K225*(1-L225)</f>
        <v>1835.55</v>
      </c>
      <c r="N225" s="18" t="n">
        <f aca="false">J225*IFERROR(INDEX(Calculations!$C$6:$C$27,MATCH(H225,Calculations!$A$6:$A$27,0)),0)</f>
        <v>900</v>
      </c>
      <c r="O225" s="18" t="n">
        <f aca="false">M225-N225</f>
        <v>935.55</v>
      </c>
      <c r="P225" s="18" t="n">
        <f aca="false">M225*IFERROR(INDEX(Calculations!$F$6:$F$11,MATCH(I225,Calculations!$E$6:$E$11,0)),0.1)</f>
        <v>183.555</v>
      </c>
      <c r="Q225" s="18" t="n">
        <f aca="false">O225-P225</f>
        <v>751.995</v>
      </c>
      <c r="R225" s="14" t="s">
        <v>243</v>
      </c>
      <c r="S225" s="14" t="s">
        <v>125</v>
      </c>
    </row>
    <row r="226" customFormat="false" ht="15" hidden="false" customHeight="false" outlineLevel="0" collapsed="false">
      <c r="A226" s="14" t="s">
        <v>648</v>
      </c>
      <c r="B226" s="15" t="n">
        <v>46021</v>
      </c>
      <c r="C226" s="14" t="s">
        <v>649</v>
      </c>
      <c r="D226" s="14" t="s">
        <v>650</v>
      </c>
      <c r="E226" s="14" t="s">
        <v>121</v>
      </c>
      <c r="F226" s="14" t="s">
        <v>122</v>
      </c>
      <c r="G226" s="14" t="s">
        <v>161</v>
      </c>
      <c r="H226" s="14" t="s">
        <v>70</v>
      </c>
      <c r="I226" s="14" t="str">
        <f aca="false">IFERROR(INDEX(Calculations!$B$6:$B$27,MATCH(H226,Calculations!$A$6:$A$27,0)),"Unknown")</f>
        <v>Smart Home</v>
      </c>
      <c r="J226" s="14" t="n">
        <v>2</v>
      </c>
      <c r="K226" s="16" t="n">
        <v>3984.31</v>
      </c>
      <c r="L226" s="17" t="n">
        <v>0.1</v>
      </c>
      <c r="M226" s="18" t="n">
        <f aca="false">J226*K226*(1-L226)</f>
        <v>7171.758</v>
      </c>
      <c r="N226" s="18" t="n">
        <f aca="false">J226*IFERROR(INDEX(Calculations!$C$6:$C$27,MATCH(H226,Calculations!$A$6:$A$27,0)),0)</f>
        <v>4400</v>
      </c>
      <c r="O226" s="18" t="n">
        <f aca="false">M226-N226</f>
        <v>2771.758</v>
      </c>
      <c r="P226" s="18" t="n">
        <f aca="false">M226*IFERROR(INDEX(Calculations!$F$6:$F$11,MATCH(I226,Calculations!$E$6:$E$11,0)),0.1)</f>
        <v>788.89338</v>
      </c>
      <c r="Q226" s="18" t="n">
        <f aca="false">O226-P226</f>
        <v>1982.86462</v>
      </c>
      <c r="R226" s="14" t="s">
        <v>124</v>
      </c>
      <c r="S226" s="14" t="s">
        <v>125</v>
      </c>
    </row>
    <row r="227" customFormat="false" ht="15" hidden="false" customHeight="false" outlineLevel="0" collapsed="false">
      <c r="A227" s="14" t="s">
        <v>651</v>
      </c>
      <c r="B227" s="15" t="n">
        <v>46022</v>
      </c>
      <c r="C227" s="14" t="s">
        <v>465</v>
      </c>
      <c r="D227" s="14" t="s">
        <v>466</v>
      </c>
      <c r="E227" s="14" t="s">
        <v>139</v>
      </c>
      <c r="F227" s="14" t="s">
        <v>152</v>
      </c>
      <c r="G227" s="14" t="s">
        <v>147</v>
      </c>
      <c r="H227" s="14" t="s">
        <v>76</v>
      </c>
      <c r="I227" s="14" t="str">
        <f aca="false">IFERROR(INDEX(Calculations!$B$6:$B$27,MATCH(H227,Calculations!$A$6:$A$27,0)),"Unknown")</f>
        <v>Cameras</v>
      </c>
      <c r="J227" s="14" t="n">
        <v>2</v>
      </c>
      <c r="K227" s="16" t="n">
        <v>7230.29</v>
      </c>
      <c r="L227" s="17" t="n">
        <v>0.1</v>
      </c>
      <c r="M227" s="18" t="n">
        <f aca="false">J227*K227*(1-L227)</f>
        <v>13014.522</v>
      </c>
      <c r="N227" s="18" t="n">
        <f aca="false">J227*IFERROR(INDEX(Calculations!$C$6:$C$27,MATCH(H227,Calculations!$A$6:$A$27,0)),0)</f>
        <v>8400</v>
      </c>
      <c r="O227" s="18" t="n">
        <f aca="false">M227-N227</f>
        <v>4614.522</v>
      </c>
      <c r="P227" s="18" t="n">
        <f aca="false">M227*IFERROR(INDEX(Calculations!$F$6:$F$11,MATCH(I227,Calculations!$E$6:$E$11,0)),0.1)</f>
        <v>976.08915</v>
      </c>
      <c r="Q227" s="18" t="n">
        <f aca="false">O227-P227</f>
        <v>3638.43285</v>
      </c>
      <c r="R227" s="14" t="s">
        <v>243</v>
      </c>
      <c r="S227" s="14" t="s">
        <v>125</v>
      </c>
    </row>
    <row r="228" customFormat="false" ht="15" hidden="false" customHeight="false" outlineLevel="0" collapsed="false">
      <c r="A228" s="14" t="s">
        <v>652</v>
      </c>
      <c r="B228" s="15" t="n">
        <v>46023</v>
      </c>
      <c r="C228" s="14" t="s">
        <v>653</v>
      </c>
      <c r="D228" s="14" t="s">
        <v>654</v>
      </c>
      <c r="E228" s="14" t="s">
        <v>194</v>
      </c>
      <c r="F228" s="14" t="s">
        <v>259</v>
      </c>
      <c r="G228" s="14" t="s">
        <v>141</v>
      </c>
      <c r="H228" s="14" t="s">
        <v>75</v>
      </c>
      <c r="I228" s="14" t="str">
        <f aca="false">IFERROR(INDEX(Calculations!$B$6:$B$27,MATCH(H228,Calculations!$A$6:$A$27,0)),"Unknown")</f>
        <v>Wearables</v>
      </c>
      <c r="J228" s="14" t="n">
        <v>2</v>
      </c>
      <c r="K228" s="16" t="n">
        <v>3301.56</v>
      </c>
      <c r="L228" s="17" t="n">
        <v>0.05</v>
      </c>
      <c r="M228" s="18" t="n">
        <f aca="false">J228*K228*(1-L228)</f>
        <v>6272.964</v>
      </c>
      <c r="N228" s="18" t="n">
        <f aca="false">J228*IFERROR(INDEX(Calculations!$C$6:$C$27,MATCH(H228,Calculations!$A$6:$A$27,0)),0)</f>
        <v>3800</v>
      </c>
      <c r="O228" s="18" t="n">
        <f aca="false">M228-N228</f>
        <v>2472.964</v>
      </c>
      <c r="P228" s="18" t="n">
        <f aca="false">M228*IFERROR(INDEX(Calculations!$F$6:$F$11,MATCH(I228,Calculations!$E$6:$E$11,0)),0.1)</f>
        <v>564.56676</v>
      </c>
      <c r="Q228" s="18" t="n">
        <f aca="false">O228-P228</f>
        <v>1908.39724</v>
      </c>
      <c r="R228" s="14" t="s">
        <v>135</v>
      </c>
      <c r="S228" s="14" t="s">
        <v>125</v>
      </c>
    </row>
    <row r="229" customFormat="false" ht="15" hidden="false" customHeight="false" outlineLevel="0" collapsed="false">
      <c r="A229" s="14" t="s">
        <v>655</v>
      </c>
      <c r="B229" s="15" t="n">
        <v>46025</v>
      </c>
      <c r="C229" s="14" t="s">
        <v>656</v>
      </c>
      <c r="D229" s="14" t="s">
        <v>657</v>
      </c>
      <c r="E229" s="14" t="s">
        <v>121</v>
      </c>
      <c r="F229" s="14" t="s">
        <v>122</v>
      </c>
      <c r="G229" s="14" t="s">
        <v>147</v>
      </c>
      <c r="H229" s="14" t="s">
        <v>76</v>
      </c>
      <c r="I229" s="14" t="str">
        <f aca="false">IFERROR(INDEX(Calculations!$B$6:$B$27,MATCH(H229,Calculations!$A$6:$A$27,0)),"Unknown")</f>
        <v>Cameras</v>
      </c>
      <c r="J229" s="14" t="n">
        <v>3</v>
      </c>
      <c r="K229" s="16" t="n">
        <v>7472.73</v>
      </c>
      <c r="L229" s="17" t="n">
        <v>0.05</v>
      </c>
      <c r="M229" s="18" t="n">
        <f aca="false">J229*K229*(1-L229)</f>
        <v>21297.2805</v>
      </c>
      <c r="N229" s="18" t="n">
        <f aca="false">J229*IFERROR(INDEX(Calculations!$C$6:$C$27,MATCH(H229,Calculations!$A$6:$A$27,0)),0)</f>
        <v>12600</v>
      </c>
      <c r="O229" s="18" t="n">
        <f aca="false">M229-N229</f>
        <v>8697.2805</v>
      </c>
      <c r="P229" s="18" t="n">
        <f aca="false">M229*IFERROR(INDEX(Calculations!$F$6:$F$11,MATCH(I229,Calculations!$E$6:$E$11,0)),0.1)</f>
        <v>1597.2960375</v>
      </c>
      <c r="Q229" s="18" t="n">
        <f aca="false">O229-P229</f>
        <v>7099.9844625</v>
      </c>
      <c r="R229" s="14" t="s">
        <v>165</v>
      </c>
      <c r="S229" s="14" t="s">
        <v>210</v>
      </c>
    </row>
    <row r="230" customFormat="false" ht="15" hidden="false" customHeight="false" outlineLevel="0" collapsed="false">
      <c r="A230" s="14" t="s">
        <v>658</v>
      </c>
      <c r="B230" s="15" t="n">
        <v>46025</v>
      </c>
      <c r="C230" s="14" t="s">
        <v>659</v>
      </c>
      <c r="D230" s="14" t="s">
        <v>660</v>
      </c>
      <c r="E230" s="14" t="s">
        <v>194</v>
      </c>
      <c r="F230" s="14" t="s">
        <v>259</v>
      </c>
      <c r="G230" s="14" t="s">
        <v>170</v>
      </c>
      <c r="H230" s="14" t="s">
        <v>69</v>
      </c>
      <c r="I230" s="14" t="str">
        <f aca="false">IFERROR(INDEX(Calculations!$B$6:$B$27,MATCH(H230,Calculations!$A$6:$A$27,0)),"Unknown")</f>
        <v>Smart Home</v>
      </c>
      <c r="J230" s="14" t="n">
        <v>3</v>
      </c>
      <c r="K230" s="16" t="n">
        <v>819.56</v>
      </c>
      <c r="L230" s="17" t="n">
        <v>0.1</v>
      </c>
      <c r="M230" s="18" t="n">
        <f aca="false">J230*K230*(1-L230)</f>
        <v>2212.812</v>
      </c>
      <c r="N230" s="18" t="n">
        <f aca="false">J230*IFERROR(INDEX(Calculations!$C$6:$C$27,MATCH(H230,Calculations!$A$6:$A$27,0)),0)</f>
        <v>1050</v>
      </c>
      <c r="O230" s="18" t="n">
        <f aca="false">M230-N230</f>
        <v>1162.812</v>
      </c>
      <c r="P230" s="18" t="n">
        <f aca="false">M230*IFERROR(INDEX(Calculations!$F$6:$F$11,MATCH(I230,Calculations!$E$6:$E$11,0)),0.1)</f>
        <v>243.40932</v>
      </c>
      <c r="Q230" s="18" t="n">
        <f aca="false">O230-P230</f>
        <v>919.40268</v>
      </c>
      <c r="R230" s="14" t="s">
        <v>135</v>
      </c>
      <c r="S230" s="14" t="s">
        <v>125</v>
      </c>
    </row>
    <row r="231" customFormat="false" ht="15" hidden="false" customHeight="false" outlineLevel="0" collapsed="false">
      <c r="A231" s="14" t="s">
        <v>661</v>
      </c>
      <c r="B231" s="15" t="n">
        <v>46026</v>
      </c>
      <c r="C231" s="14" t="s">
        <v>662</v>
      </c>
      <c r="D231" s="14" t="s">
        <v>663</v>
      </c>
      <c r="E231" s="14" t="s">
        <v>121</v>
      </c>
      <c r="F231" s="14" t="s">
        <v>129</v>
      </c>
      <c r="G231" s="14" t="s">
        <v>170</v>
      </c>
      <c r="H231" s="14" t="s">
        <v>56</v>
      </c>
      <c r="I231" s="14" t="str">
        <f aca="false">IFERROR(INDEX(Calculations!$B$6:$B$27,MATCH(H231,Calculations!$A$6:$A$27,0)),"Unknown")</f>
        <v>Audio</v>
      </c>
      <c r="J231" s="14" t="n">
        <v>2</v>
      </c>
      <c r="K231" s="16" t="n">
        <v>886.91</v>
      </c>
      <c r="L231" s="17" t="n">
        <v>0.1</v>
      </c>
      <c r="M231" s="18" t="n">
        <f aca="false">J231*K231*(1-L231)</f>
        <v>1596.438</v>
      </c>
      <c r="N231" s="18" t="n">
        <f aca="false">J231*IFERROR(INDEX(Calculations!$C$6:$C$27,MATCH(H231,Calculations!$A$6:$A$27,0)),0)</f>
        <v>900</v>
      </c>
      <c r="O231" s="18" t="n">
        <f aca="false">M231-N231</f>
        <v>696.438</v>
      </c>
      <c r="P231" s="18" t="n">
        <f aca="false">M231*IFERROR(INDEX(Calculations!$F$6:$F$11,MATCH(I231,Calculations!$E$6:$E$11,0)),0.1)</f>
        <v>159.6438</v>
      </c>
      <c r="Q231" s="18" t="n">
        <f aca="false">O231-P231</f>
        <v>536.7942</v>
      </c>
      <c r="R231" s="14" t="s">
        <v>130</v>
      </c>
      <c r="S231" s="14" t="s">
        <v>125</v>
      </c>
    </row>
    <row r="232" customFormat="false" ht="15" hidden="false" customHeight="false" outlineLevel="0" collapsed="false">
      <c r="A232" s="14" t="s">
        <v>664</v>
      </c>
      <c r="B232" s="15" t="n">
        <v>46027</v>
      </c>
      <c r="C232" s="14" t="s">
        <v>665</v>
      </c>
      <c r="D232" s="14" t="s">
        <v>666</v>
      </c>
      <c r="E232" s="14" t="s">
        <v>139</v>
      </c>
      <c r="F232" s="14" t="s">
        <v>140</v>
      </c>
      <c r="G232" s="14" t="s">
        <v>161</v>
      </c>
      <c r="H232" s="14" t="s">
        <v>67</v>
      </c>
      <c r="I232" s="14" t="str">
        <f aca="false">IFERROR(INDEX(Calculations!$B$6:$B$27,MATCH(H232,Calculations!$A$6:$A$27,0)),"Unknown")</f>
        <v>Computer Peripherals</v>
      </c>
      <c r="J232" s="14" t="n">
        <v>2</v>
      </c>
      <c r="K232" s="16" t="n">
        <v>1854.09</v>
      </c>
      <c r="L232" s="17" t="n">
        <v>0.05</v>
      </c>
      <c r="M232" s="18" t="n">
        <f aca="false">J232*K232*(1-L232)</f>
        <v>3522.771</v>
      </c>
      <c r="N232" s="18" t="n">
        <f aca="false">J232*IFERROR(INDEX(Calculations!$C$6:$C$27,MATCH(H232,Calculations!$A$6:$A$27,0)),0)</f>
        <v>1800</v>
      </c>
      <c r="O232" s="18" t="n">
        <f aca="false">M232-N232</f>
        <v>1722.771</v>
      </c>
      <c r="P232" s="18" t="n">
        <f aca="false">M232*IFERROR(INDEX(Calculations!$F$6:$F$11,MATCH(I232,Calculations!$E$6:$E$11,0)),0.1)</f>
        <v>281.82168</v>
      </c>
      <c r="Q232" s="18" t="n">
        <f aca="false">O232-P232</f>
        <v>1440.94932</v>
      </c>
      <c r="R232" s="14" t="s">
        <v>165</v>
      </c>
      <c r="S232" s="14" t="s">
        <v>125</v>
      </c>
    </row>
    <row r="233" customFormat="false" ht="15" hidden="false" customHeight="false" outlineLevel="0" collapsed="false">
      <c r="A233" s="14" t="s">
        <v>667</v>
      </c>
      <c r="B233" s="15" t="n">
        <v>46028</v>
      </c>
      <c r="C233" s="14" t="s">
        <v>495</v>
      </c>
      <c r="D233" s="14" t="s">
        <v>496</v>
      </c>
      <c r="E233" s="14" t="s">
        <v>145</v>
      </c>
      <c r="F233" s="14" t="s">
        <v>174</v>
      </c>
      <c r="G233" s="14" t="s">
        <v>123</v>
      </c>
      <c r="H233" s="14" t="s">
        <v>54</v>
      </c>
      <c r="I233" s="14" t="str">
        <f aca="false">IFERROR(INDEX(Calculations!$B$6:$B$27,MATCH(H233,Calculations!$A$6:$A$27,0)),"Unknown")</f>
        <v>Audio</v>
      </c>
      <c r="J233" s="14" t="n">
        <v>3</v>
      </c>
      <c r="K233" s="16" t="n">
        <v>2760.59</v>
      </c>
      <c r="L233" s="17" t="n">
        <v>0</v>
      </c>
      <c r="M233" s="18" t="n">
        <f aca="false">J233*K233*(1-L233)</f>
        <v>8281.77</v>
      </c>
      <c r="N233" s="18" t="n">
        <f aca="false">J233*IFERROR(INDEX(Calculations!$C$6:$C$27,MATCH(H233,Calculations!$A$6:$A$27,0)),0)</f>
        <v>4200</v>
      </c>
      <c r="O233" s="18" t="n">
        <f aca="false">M233-N233</f>
        <v>4081.77</v>
      </c>
      <c r="P233" s="18" t="n">
        <f aca="false">M233*IFERROR(INDEX(Calculations!$F$6:$F$11,MATCH(I233,Calculations!$E$6:$E$11,0)),0.1)</f>
        <v>828.177</v>
      </c>
      <c r="Q233" s="18" t="n">
        <f aca="false">O233-P233</f>
        <v>3253.593</v>
      </c>
      <c r="R233" s="14" t="s">
        <v>135</v>
      </c>
      <c r="S233" s="14" t="s">
        <v>148</v>
      </c>
    </row>
    <row r="234" customFormat="false" ht="15" hidden="false" customHeight="false" outlineLevel="0" collapsed="false">
      <c r="A234" s="14" t="s">
        <v>668</v>
      </c>
      <c r="B234" s="15" t="n">
        <v>46029</v>
      </c>
      <c r="C234" s="14" t="s">
        <v>419</v>
      </c>
      <c r="D234" s="14" t="s">
        <v>420</v>
      </c>
      <c r="E234" s="14" t="s">
        <v>139</v>
      </c>
      <c r="F234" s="14" t="s">
        <v>140</v>
      </c>
      <c r="G234" s="14" t="s">
        <v>141</v>
      </c>
      <c r="H234" s="14" t="s">
        <v>65</v>
      </c>
      <c r="I234" s="14" t="str">
        <f aca="false">IFERROR(INDEX(Calculations!$B$6:$B$27,MATCH(H234,Calculations!$A$6:$A$27,0)),"Unknown")</f>
        <v>Computer Peripherals</v>
      </c>
      <c r="J234" s="14" t="n">
        <v>1</v>
      </c>
      <c r="K234" s="16" t="n">
        <v>3187.93</v>
      </c>
      <c r="L234" s="17" t="n">
        <v>0.05</v>
      </c>
      <c r="M234" s="18" t="n">
        <f aca="false">J234*K234*(1-L234)</f>
        <v>3028.5335</v>
      </c>
      <c r="N234" s="18" t="n">
        <f aca="false">J234*IFERROR(INDEX(Calculations!$C$6:$C$27,MATCH(H234,Calculations!$A$6:$A$27,0)),0)</f>
        <v>1600</v>
      </c>
      <c r="O234" s="18" t="n">
        <f aca="false">M234-N234</f>
        <v>1428.5335</v>
      </c>
      <c r="P234" s="18" t="n">
        <f aca="false">M234*IFERROR(INDEX(Calculations!$F$6:$F$11,MATCH(I234,Calculations!$E$6:$E$11,0)),0.1)</f>
        <v>242.28268</v>
      </c>
      <c r="Q234" s="18" t="n">
        <f aca="false">O234-P234</f>
        <v>1186.25082</v>
      </c>
      <c r="R234" s="14" t="s">
        <v>130</v>
      </c>
      <c r="S234" s="14" t="s">
        <v>210</v>
      </c>
    </row>
    <row r="235" customFormat="false" ht="15" hidden="false" customHeight="false" outlineLevel="0" collapsed="false">
      <c r="A235" s="14" t="s">
        <v>669</v>
      </c>
      <c r="B235" s="15" t="n">
        <v>46029</v>
      </c>
      <c r="C235" s="14" t="s">
        <v>670</v>
      </c>
      <c r="D235" s="14" t="s">
        <v>671</v>
      </c>
      <c r="E235" s="14" t="s">
        <v>139</v>
      </c>
      <c r="F235" s="14" t="s">
        <v>152</v>
      </c>
      <c r="G235" s="14" t="s">
        <v>141</v>
      </c>
      <c r="H235" s="14" t="s">
        <v>77</v>
      </c>
      <c r="I235" s="14" t="str">
        <f aca="false">IFERROR(INDEX(Calculations!$B$6:$B$27,MATCH(H235,Calculations!$A$6:$A$27,0)),"Unknown")</f>
        <v>Cameras</v>
      </c>
      <c r="J235" s="14" t="n">
        <v>1</v>
      </c>
      <c r="K235" s="16" t="n">
        <v>5599.41</v>
      </c>
      <c r="L235" s="17" t="n">
        <v>0.1</v>
      </c>
      <c r="M235" s="18" t="n">
        <f aca="false">J235*K235*(1-L235)</f>
        <v>5039.469</v>
      </c>
      <c r="N235" s="18" t="n">
        <f aca="false">J235*IFERROR(INDEX(Calculations!$C$6:$C$27,MATCH(H235,Calculations!$A$6:$A$27,0)),0)</f>
        <v>3100</v>
      </c>
      <c r="O235" s="18" t="n">
        <f aca="false">M235-N235</f>
        <v>1939.469</v>
      </c>
      <c r="P235" s="18" t="n">
        <f aca="false">M235*IFERROR(INDEX(Calculations!$F$6:$F$11,MATCH(I235,Calculations!$E$6:$E$11,0)),0.1)</f>
        <v>377.960175</v>
      </c>
      <c r="Q235" s="18" t="n">
        <f aca="false">O235-P235</f>
        <v>1561.508825</v>
      </c>
      <c r="R235" s="14" t="s">
        <v>124</v>
      </c>
      <c r="S235" s="14" t="s">
        <v>125</v>
      </c>
    </row>
    <row r="236" customFormat="false" ht="15" hidden="false" customHeight="false" outlineLevel="0" collapsed="false">
      <c r="A236" s="14" t="s">
        <v>672</v>
      </c>
      <c r="B236" s="15" t="n">
        <v>46029</v>
      </c>
      <c r="C236" s="14" t="s">
        <v>673</v>
      </c>
      <c r="D236" s="14" t="s">
        <v>674</v>
      </c>
      <c r="E236" s="14" t="s">
        <v>121</v>
      </c>
      <c r="F236" s="14" t="s">
        <v>129</v>
      </c>
      <c r="G236" s="14" t="s">
        <v>147</v>
      </c>
      <c r="H236" s="14" t="s">
        <v>74</v>
      </c>
      <c r="I236" s="14" t="str">
        <f aca="false">IFERROR(INDEX(Calculations!$B$6:$B$27,MATCH(H236,Calculations!$A$6:$A$27,0)),"Unknown")</f>
        <v>Wearables</v>
      </c>
      <c r="J236" s="14" t="n">
        <v>1</v>
      </c>
      <c r="K236" s="16" t="n">
        <v>6339.15</v>
      </c>
      <c r="L236" s="17" t="n">
        <v>0</v>
      </c>
      <c r="M236" s="18" t="n">
        <f aca="false">J236*K236*(1-L236)</f>
        <v>6339.15</v>
      </c>
      <c r="N236" s="18" t="n">
        <f aca="false">J236*IFERROR(INDEX(Calculations!$C$6:$C$27,MATCH(H236,Calculations!$A$6:$A$27,0)),0)</f>
        <v>3800</v>
      </c>
      <c r="O236" s="18" t="n">
        <f aca="false">M236-N236</f>
        <v>2539.15</v>
      </c>
      <c r="P236" s="18" t="n">
        <f aca="false">M236*IFERROR(INDEX(Calculations!$F$6:$F$11,MATCH(I236,Calculations!$E$6:$E$11,0)),0.1)</f>
        <v>570.5235</v>
      </c>
      <c r="Q236" s="18" t="n">
        <f aca="false">O236-P236</f>
        <v>1968.6265</v>
      </c>
      <c r="R236" s="14" t="s">
        <v>130</v>
      </c>
      <c r="S236" s="14" t="s">
        <v>125</v>
      </c>
    </row>
    <row r="237" customFormat="false" ht="15" hidden="false" customHeight="false" outlineLevel="0" collapsed="false">
      <c r="A237" s="14" t="s">
        <v>675</v>
      </c>
      <c r="B237" s="15" t="n">
        <v>46030</v>
      </c>
      <c r="C237" s="14" t="s">
        <v>374</v>
      </c>
      <c r="D237" s="14" t="s">
        <v>375</v>
      </c>
      <c r="E237" s="14" t="s">
        <v>194</v>
      </c>
      <c r="F237" s="14" t="s">
        <v>259</v>
      </c>
      <c r="G237" s="14" t="s">
        <v>123</v>
      </c>
      <c r="H237" s="14" t="s">
        <v>56</v>
      </c>
      <c r="I237" s="14" t="str">
        <f aca="false">IFERROR(INDEX(Calculations!$B$6:$B$27,MATCH(H237,Calculations!$A$6:$A$27,0)),"Unknown")</f>
        <v>Audio</v>
      </c>
      <c r="J237" s="14" t="n">
        <v>1</v>
      </c>
      <c r="K237" s="16" t="n">
        <v>881.37</v>
      </c>
      <c r="L237" s="17" t="n">
        <v>0.2</v>
      </c>
      <c r="M237" s="18" t="n">
        <f aca="false">J237*K237*(1-L237)</f>
        <v>705.096</v>
      </c>
      <c r="N237" s="18" t="n">
        <f aca="false">J237*IFERROR(INDEX(Calculations!$C$6:$C$27,MATCH(H237,Calculations!$A$6:$A$27,0)),0)</f>
        <v>450</v>
      </c>
      <c r="O237" s="18" t="n">
        <f aca="false">M237-N237</f>
        <v>255.096</v>
      </c>
      <c r="P237" s="18" t="n">
        <f aca="false">M237*IFERROR(INDEX(Calculations!$F$6:$F$11,MATCH(I237,Calculations!$E$6:$E$11,0)),0.1)</f>
        <v>70.5096</v>
      </c>
      <c r="Q237" s="18" t="n">
        <f aca="false">O237-P237</f>
        <v>184.5864</v>
      </c>
      <c r="R237" s="14" t="s">
        <v>135</v>
      </c>
      <c r="S237" s="14" t="s">
        <v>125</v>
      </c>
    </row>
    <row r="238" customFormat="false" ht="15" hidden="false" customHeight="false" outlineLevel="0" collapsed="false">
      <c r="A238" s="14" t="s">
        <v>676</v>
      </c>
      <c r="B238" s="15" t="n">
        <v>46030</v>
      </c>
      <c r="C238" s="14" t="s">
        <v>254</v>
      </c>
      <c r="D238" s="14" t="s">
        <v>255</v>
      </c>
      <c r="E238" s="14" t="s">
        <v>156</v>
      </c>
      <c r="F238" s="14" t="s">
        <v>169</v>
      </c>
      <c r="G238" s="14" t="s">
        <v>123</v>
      </c>
      <c r="H238" s="14" t="s">
        <v>70</v>
      </c>
      <c r="I238" s="14" t="str">
        <f aca="false">IFERROR(INDEX(Calculations!$B$6:$B$27,MATCH(H238,Calculations!$A$6:$A$27,0)),"Unknown")</f>
        <v>Smart Home</v>
      </c>
      <c r="J238" s="14" t="n">
        <v>1</v>
      </c>
      <c r="K238" s="16" t="n">
        <v>4059.94</v>
      </c>
      <c r="L238" s="17" t="n">
        <v>0.05</v>
      </c>
      <c r="M238" s="18" t="n">
        <f aca="false">J238*K238*(1-L238)</f>
        <v>3856.943</v>
      </c>
      <c r="N238" s="18" t="n">
        <f aca="false">J238*IFERROR(INDEX(Calculations!$C$6:$C$27,MATCH(H238,Calculations!$A$6:$A$27,0)),0)</f>
        <v>2200</v>
      </c>
      <c r="O238" s="18" t="n">
        <f aca="false">M238-N238</f>
        <v>1656.943</v>
      </c>
      <c r="P238" s="18" t="n">
        <f aca="false">M238*IFERROR(INDEX(Calculations!$F$6:$F$11,MATCH(I238,Calculations!$E$6:$E$11,0)),0.1)</f>
        <v>424.26373</v>
      </c>
      <c r="Q238" s="18" t="n">
        <f aca="false">O238-P238</f>
        <v>1232.67927</v>
      </c>
      <c r="R238" s="14" t="s">
        <v>165</v>
      </c>
      <c r="S238" s="14" t="s">
        <v>205</v>
      </c>
    </row>
    <row r="239" customFormat="false" ht="15" hidden="false" customHeight="false" outlineLevel="0" collapsed="false">
      <c r="A239" s="14" t="s">
        <v>677</v>
      </c>
      <c r="B239" s="15" t="n">
        <v>46030</v>
      </c>
      <c r="C239" s="14" t="s">
        <v>678</v>
      </c>
      <c r="D239" s="14" t="s">
        <v>679</v>
      </c>
      <c r="E239" s="14" t="s">
        <v>194</v>
      </c>
      <c r="F239" s="14" t="s">
        <v>259</v>
      </c>
      <c r="G239" s="14" t="s">
        <v>123</v>
      </c>
      <c r="H239" s="14" t="s">
        <v>68</v>
      </c>
      <c r="I239" s="14" t="str">
        <f aca="false">IFERROR(INDEX(Calculations!$B$6:$B$27,MATCH(H239,Calculations!$A$6:$A$27,0)),"Unknown")</f>
        <v>Computer Peripherals</v>
      </c>
      <c r="J239" s="14" t="n">
        <v>2</v>
      </c>
      <c r="K239" s="16" t="n">
        <v>1018.38</v>
      </c>
      <c r="L239" s="17" t="n">
        <v>0.1</v>
      </c>
      <c r="M239" s="18" t="n">
        <f aca="false">J239*K239*(1-L239)</f>
        <v>1833.084</v>
      </c>
      <c r="N239" s="18" t="n">
        <f aca="false">J239*IFERROR(INDEX(Calculations!$C$6:$C$27,MATCH(H239,Calculations!$A$6:$A$27,0)),0)</f>
        <v>1000</v>
      </c>
      <c r="O239" s="18" t="n">
        <f aca="false">M239-N239</f>
        <v>833.084</v>
      </c>
      <c r="P239" s="18" t="n">
        <f aca="false">M239*IFERROR(INDEX(Calculations!$F$6:$F$11,MATCH(I239,Calculations!$E$6:$E$11,0)),0.1)</f>
        <v>146.64672</v>
      </c>
      <c r="Q239" s="18" t="n">
        <f aca="false">O239-P239</f>
        <v>686.43728</v>
      </c>
      <c r="R239" s="14" t="s">
        <v>124</v>
      </c>
      <c r="S239" s="14" t="s">
        <v>205</v>
      </c>
    </row>
    <row r="240" customFormat="false" ht="15" hidden="false" customHeight="false" outlineLevel="0" collapsed="false">
      <c r="A240" s="14" t="s">
        <v>680</v>
      </c>
      <c r="B240" s="15" t="n">
        <v>46031</v>
      </c>
      <c r="C240" s="14" t="s">
        <v>307</v>
      </c>
      <c r="D240" s="14" t="s">
        <v>308</v>
      </c>
      <c r="E240" s="14" t="s">
        <v>121</v>
      </c>
      <c r="F240" s="14" t="s">
        <v>129</v>
      </c>
      <c r="G240" s="14" t="s">
        <v>161</v>
      </c>
      <c r="H240" s="14" t="s">
        <v>52</v>
      </c>
      <c r="I240" s="14" t="str">
        <f aca="false">IFERROR(INDEX(Calculations!$B$6:$B$27,MATCH(H240,Calculations!$A$6:$A$27,0)),"Unknown")</f>
        <v>Audio</v>
      </c>
      <c r="J240" s="14" t="n">
        <v>2</v>
      </c>
      <c r="K240" s="16" t="n">
        <v>1973.31</v>
      </c>
      <c r="L240" s="17" t="n">
        <v>0.05</v>
      </c>
      <c r="M240" s="18" t="n">
        <f aca="false">J240*K240*(1-L240)</f>
        <v>3749.289</v>
      </c>
      <c r="N240" s="18" t="n">
        <f aca="false">J240*IFERROR(INDEX(Calculations!$C$6:$C$27,MATCH(H240,Calculations!$A$6:$A$27,0)),0)</f>
        <v>1800</v>
      </c>
      <c r="O240" s="18" t="n">
        <f aca="false">M240-N240</f>
        <v>1949.289</v>
      </c>
      <c r="P240" s="18" t="n">
        <f aca="false">M240*IFERROR(INDEX(Calculations!$F$6:$F$11,MATCH(I240,Calculations!$E$6:$E$11,0)),0.1)</f>
        <v>374.9289</v>
      </c>
      <c r="Q240" s="18" t="n">
        <f aca="false">O240-P240</f>
        <v>1574.3601</v>
      </c>
      <c r="R240" s="14" t="s">
        <v>130</v>
      </c>
      <c r="S240" s="14" t="s">
        <v>125</v>
      </c>
    </row>
    <row r="241" customFormat="false" ht="15" hidden="false" customHeight="false" outlineLevel="0" collapsed="false">
      <c r="A241" s="14" t="s">
        <v>681</v>
      </c>
      <c r="B241" s="15" t="n">
        <v>46031</v>
      </c>
      <c r="C241" s="14" t="s">
        <v>598</v>
      </c>
      <c r="D241" s="14" t="s">
        <v>599</v>
      </c>
      <c r="E241" s="14" t="s">
        <v>156</v>
      </c>
      <c r="F241" s="14" t="s">
        <v>169</v>
      </c>
      <c r="G241" s="14" t="s">
        <v>175</v>
      </c>
      <c r="H241" s="14" t="s">
        <v>60</v>
      </c>
      <c r="I241" s="14" t="str">
        <f aca="false">IFERROR(INDEX(Calculations!$B$6:$B$27,MATCH(H241,Calculations!$A$6:$A$27,0)),"Unknown")</f>
        <v>Mobile Accessories</v>
      </c>
      <c r="J241" s="14" t="n">
        <v>5</v>
      </c>
      <c r="K241" s="16" t="n">
        <v>250.73</v>
      </c>
      <c r="L241" s="17" t="n">
        <v>0.1</v>
      </c>
      <c r="M241" s="18" t="n">
        <f aca="false">J241*K241*(1-L241)</f>
        <v>1128.285</v>
      </c>
      <c r="N241" s="18" t="n">
        <f aca="false">J241*IFERROR(INDEX(Calculations!$C$6:$C$27,MATCH(H241,Calculations!$A$6:$A$27,0)),0)</f>
        <v>450</v>
      </c>
      <c r="O241" s="18" t="n">
        <f aca="false">M241-N241</f>
        <v>678.285</v>
      </c>
      <c r="P241" s="18" t="n">
        <f aca="false">M241*IFERROR(INDEX(Calculations!$F$6:$F$11,MATCH(I241,Calculations!$E$6:$E$11,0)),0.1)</f>
        <v>135.3942</v>
      </c>
      <c r="Q241" s="18" t="n">
        <f aca="false">O241-P241</f>
        <v>542.8908</v>
      </c>
      <c r="R241" s="14" t="s">
        <v>135</v>
      </c>
      <c r="S241" s="14" t="s">
        <v>125</v>
      </c>
    </row>
    <row r="242" customFormat="false" ht="15" hidden="false" customHeight="false" outlineLevel="0" collapsed="false">
      <c r="A242" s="14" t="s">
        <v>682</v>
      </c>
      <c r="B242" s="15" t="n">
        <v>46031</v>
      </c>
      <c r="C242" s="14" t="s">
        <v>683</v>
      </c>
      <c r="D242" s="14" t="s">
        <v>684</v>
      </c>
      <c r="E242" s="14" t="s">
        <v>156</v>
      </c>
      <c r="F242" s="14" t="s">
        <v>169</v>
      </c>
      <c r="G242" s="14" t="s">
        <v>170</v>
      </c>
      <c r="H242" s="14" t="s">
        <v>73</v>
      </c>
      <c r="I242" s="14" t="str">
        <f aca="false">IFERROR(INDEX(Calculations!$B$6:$B$27,MATCH(H242,Calculations!$A$6:$A$27,0)),"Unknown")</f>
        <v>Wearables</v>
      </c>
      <c r="J242" s="14" t="n">
        <v>1</v>
      </c>
      <c r="K242" s="16" t="n">
        <v>2008.94</v>
      </c>
      <c r="L242" s="17" t="n">
        <v>0.05</v>
      </c>
      <c r="M242" s="18" t="n">
        <f aca="false">J242*K242*(1-L242)</f>
        <v>1908.493</v>
      </c>
      <c r="N242" s="18" t="n">
        <f aca="false">J242*IFERROR(INDEX(Calculations!$C$6:$C$27,MATCH(H242,Calculations!$A$6:$A$27,0)),0)</f>
        <v>1100</v>
      </c>
      <c r="O242" s="18" t="n">
        <f aca="false">M242-N242</f>
        <v>808.493</v>
      </c>
      <c r="P242" s="18" t="n">
        <f aca="false">M242*IFERROR(INDEX(Calculations!$F$6:$F$11,MATCH(I242,Calculations!$E$6:$E$11,0)),0.1)</f>
        <v>171.76437</v>
      </c>
      <c r="Q242" s="18" t="n">
        <f aca="false">O242-P242</f>
        <v>636.72863</v>
      </c>
      <c r="R242" s="14" t="s">
        <v>124</v>
      </c>
      <c r="S242" s="14" t="s">
        <v>125</v>
      </c>
    </row>
    <row r="243" customFormat="false" ht="15" hidden="false" customHeight="false" outlineLevel="0" collapsed="false">
      <c r="A243" s="14" t="s">
        <v>685</v>
      </c>
      <c r="B243" s="15" t="n">
        <v>46032</v>
      </c>
      <c r="C243" s="14" t="s">
        <v>544</v>
      </c>
      <c r="D243" s="14" t="s">
        <v>545</v>
      </c>
      <c r="E243" s="14" t="s">
        <v>121</v>
      </c>
      <c r="F243" s="14" t="s">
        <v>122</v>
      </c>
      <c r="G243" s="14" t="s">
        <v>161</v>
      </c>
      <c r="H243" s="14" t="s">
        <v>77</v>
      </c>
      <c r="I243" s="14" t="str">
        <f aca="false">IFERROR(INDEX(Calculations!$B$6:$B$27,MATCH(H243,Calculations!$A$6:$A$27,0)),"Unknown")</f>
        <v>Cameras</v>
      </c>
      <c r="J243" s="14" t="n">
        <v>2</v>
      </c>
      <c r="K243" s="16" t="n">
        <v>5680.78</v>
      </c>
      <c r="L243" s="17" t="n">
        <v>0.05</v>
      </c>
      <c r="M243" s="18" t="n">
        <f aca="false">J243*K243*(1-L243)</f>
        <v>10793.482</v>
      </c>
      <c r="N243" s="18" t="n">
        <f aca="false">J243*IFERROR(INDEX(Calculations!$C$6:$C$27,MATCH(H243,Calculations!$A$6:$A$27,0)),0)</f>
        <v>6200</v>
      </c>
      <c r="O243" s="18" t="n">
        <f aca="false">M243-N243</f>
        <v>4593.482</v>
      </c>
      <c r="P243" s="18" t="n">
        <f aca="false">M243*IFERROR(INDEX(Calculations!$F$6:$F$11,MATCH(I243,Calculations!$E$6:$E$11,0)),0.1)</f>
        <v>809.51115</v>
      </c>
      <c r="Q243" s="18" t="n">
        <f aca="false">O243-P243</f>
        <v>3783.97085</v>
      </c>
      <c r="R243" s="14" t="s">
        <v>243</v>
      </c>
      <c r="S243" s="14" t="s">
        <v>125</v>
      </c>
    </row>
    <row r="244" customFormat="false" ht="15" hidden="false" customHeight="false" outlineLevel="0" collapsed="false">
      <c r="A244" s="14" t="s">
        <v>686</v>
      </c>
      <c r="B244" s="15" t="n">
        <v>46033</v>
      </c>
      <c r="C244" s="14" t="s">
        <v>687</v>
      </c>
      <c r="D244" s="14" t="s">
        <v>688</v>
      </c>
      <c r="E244" s="14" t="s">
        <v>156</v>
      </c>
      <c r="F244" s="14" t="s">
        <v>157</v>
      </c>
      <c r="G244" s="14" t="s">
        <v>209</v>
      </c>
      <c r="H244" s="14" t="s">
        <v>50</v>
      </c>
      <c r="I244" s="14" t="str">
        <f aca="false">IFERROR(INDEX(Calculations!$B$6:$B$27,MATCH(H244,Calculations!$A$6:$A$27,0)),"Unknown")</f>
        <v>Audio</v>
      </c>
      <c r="J244" s="14" t="n">
        <v>4</v>
      </c>
      <c r="K244" s="16" t="n">
        <v>1314.58</v>
      </c>
      <c r="L244" s="17" t="n">
        <v>0.1</v>
      </c>
      <c r="M244" s="18" t="n">
        <f aca="false">J244*K244*(1-L244)</f>
        <v>4732.488</v>
      </c>
      <c r="N244" s="18" t="n">
        <f aca="false">J244*IFERROR(INDEX(Calculations!$C$6:$C$27,MATCH(H244,Calculations!$A$6:$A$27,0)),0)</f>
        <v>2600</v>
      </c>
      <c r="O244" s="18" t="n">
        <f aca="false">M244-N244</f>
        <v>2132.488</v>
      </c>
      <c r="P244" s="18" t="n">
        <f aca="false">M244*IFERROR(INDEX(Calculations!$F$6:$F$11,MATCH(I244,Calculations!$E$6:$E$11,0)),0.1)</f>
        <v>473.2488</v>
      </c>
      <c r="Q244" s="18" t="n">
        <f aca="false">O244-P244</f>
        <v>1659.2392</v>
      </c>
      <c r="R244" s="14" t="s">
        <v>130</v>
      </c>
      <c r="S244" s="14" t="s">
        <v>125</v>
      </c>
    </row>
    <row r="245" customFormat="false" ht="15" hidden="false" customHeight="false" outlineLevel="0" collapsed="false">
      <c r="A245" s="14" t="s">
        <v>689</v>
      </c>
      <c r="B245" s="15" t="n">
        <v>46033</v>
      </c>
      <c r="C245" s="14" t="s">
        <v>690</v>
      </c>
      <c r="D245" s="14" t="s">
        <v>691</v>
      </c>
      <c r="E245" s="14" t="s">
        <v>139</v>
      </c>
      <c r="F245" s="14" t="s">
        <v>140</v>
      </c>
      <c r="G245" s="14" t="s">
        <v>141</v>
      </c>
      <c r="H245" s="14" t="s">
        <v>77</v>
      </c>
      <c r="I245" s="14" t="str">
        <f aca="false">IFERROR(INDEX(Calculations!$B$6:$B$27,MATCH(H245,Calculations!$A$6:$A$27,0)),"Unknown")</f>
        <v>Cameras</v>
      </c>
      <c r="J245" s="14" t="n">
        <v>3</v>
      </c>
      <c r="K245" s="16" t="n">
        <v>5520.99</v>
      </c>
      <c r="L245" s="17" t="n">
        <v>0</v>
      </c>
      <c r="M245" s="18" t="n">
        <f aca="false">J245*K245*(1-L245)</f>
        <v>16562.97</v>
      </c>
      <c r="N245" s="18" t="n">
        <f aca="false">J245*IFERROR(INDEX(Calculations!$C$6:$C$27,MATCH(H245,Calculations!$A$6:$A$27,0)),0)</f>
        <v>9300</v>
      </c>
      <c r="O245" s="18" t="n">
        <f aca="false">M245-N245</f>
        <v>7262.97</v>
      </c>
      <c r="P245" s="18" t="n">
        <f aca="false">M245*IFERROR(INDEX(Calculations!$F$6:$F$11,MATCH(I245,Calculations!$E$6:$E$11,0)),0.1)</f>
        <v>1242.22275</v>
      </c>
      <c r="Q245" s="18" t="n">
        <f aca="false">O245-P245</f>
        <v>6020.74725</v>
      </c>
      <c r="R245" s="14" t="s">
        <v>130</v>
      </c>
      <c r="S245" s="14" t="s">
        <v>125</v>
      </c>
    </row>
    <row r="246" customFormat="false" ht="15" hidden="false" customHeight="false" outlineLevel="0" collapsed="false">
      <c r="A246" s="14" t="s">
        <v>692</v>
      </c>
      <c r="B246" s="15" t="n">
        <v>46033</v>
      </c>
      <c r="C246" s="14" t="s">
        <v>442</v>
      </c>
      <c r="D246" s="14" t="s">
        <v>443</v>
      </c>
      <c r="E246" s="14" t="s">
        <v>121</v>
      </c>
      <c r="F246" s="14" t="s">
        <v>122</v>
      </c>
      <c r="G246" s="14" t="s">
        <v>161</v>
      </c>
      <c r="H246" s="14" t="s">
        <v>73</v>
      </c>
      <c r="I246" s="14" t="str">
        <f aca="false">IFERROR(INDEX(Calculations!$B$6:$B$27,MATCH(H246,Calculations!$A$6:$A$27,0)),"Unknown")</f>
        <v>Wearables</v>
      </c>
      <c r="J246" s="14" t="n">
        <v>1</v>
      </c>
      <c r="K246" s="16" t="n">
        <v>2031.68</v>
      </c>
      <c r="L246" s="17" t="n">
        <v>0</v>
      </c>
      <c r="M246" s="18" t="n">
        <f aca="false">J246*K246*(1-L246)</f>
        <v>2031.68</v>
      </c>
      <c r="N246" s="18" t="n">
        <f aca="false">J246*IFERROR(INDEX(Calculations!$C$6:$C$27,MATCH(H246,Calculations!$A$6:$A$27,0)),0)</f>
        <v>1100</v>
      </c>
      <c r="O246" s="18" t="n">
        <f aca="false">M246-N246</f>
        <v>931.68</v>
      </c>
      <c r="P246" s="18" t="n">
        <f aca="false">M246*IFERROR(INDEX(Calculations!$F$6:$F$11,MATCH(I246,Calculations!$E$6:$E$11,0)),0.1)</f>
        <v>182.8512</v>
      </c>
      <c r="Q246" s="18" t="n">
        <f aca="false">O246-P246</f>
        <v>748.8288</v>
      </c>
      <c r="R246" s="14" t="s">
        <v>130</v>
      </c>
      <c r="S246" s="14" t="s">
        <v>125</v>
      </c>
    </row>
    <row r="247" customFormat="false" ht="15" hidden="false" customHeight="false" outlineLevel="0" collapsed="false">
      <c r="A247" s="14" t="s">
        <v>693</v>
      </c>
      <c r="B247" s="15" t="n">
        <v>46034</v>
      </c>
      <c r="C247" s="14" t="s">
        <v>474</v>
      </c>
      <c r="D247" s="14" t="s">
        <v>475</v>
      </c>
      <c r="E247" s="14" t="s">
        <v>156</v>
      </c>
      <c r="F247" s="14" t="s">
        <v>169</v>
      </c>
      <c r="G247" s="14" t="s">
        <v>147</v>
      </c>
      <c r="H247" s="14" t="s">
        <v>71</v>
      </c>
      <c r="I247" s="14" t="str">
        <f aca="false">IFERROR(INDEX(Calculations!$B$6:$B$27,MATCH(H247,Calculations!$A$6:$A$27,0)),"Unknown")</f>
        <v>Smart Home</v>
      </c>
      <c r="J247" s="14" t="n">
        <v>1</v>
      </c>
      <c r="K247" s="16" t="n">
        <v>883.05</v>
      </c>
      <c r="L247" s="17" t="n">
        <v>0.05</v>
      </c>
      <c r="M247" s="18" t="n">
        <f aca="false">J247*K247*(1-L247)</f>
        <v>838.8975</v>
      </c>
      <c r="N247" s="18" t="n">
        <f aca="false">J247*IFERROR(INDEX(Calculations!$C$6:$C$27,MATCH(H247,Calculations!$A$6:$A$27,0)),0)</f>
        <v>450</v>
      </c>
      <c r="O247" s="18" t="n">
        <f aca="false">M247-N247</f>
        <v>388.8975</v>
      </c>
      <c r="P247" s="18" t="n">
        <f aca="false">M247*IFERROR(INDEX(Calculations!$F$6:$F$11,MATCH(I247,Calculations!$E$6:$E$11,0)),0.1)</f>
        <v>92.278725</v>
      </c>
      <c r="Q247" s="18" t="n">
        <f aca="false">O247-P247</f>
        <v>296.618775</v>
      </c>
      <c r="R247" s="14" t="s">
        <v>124</v>
      </c>
      <c r="S247" s="14" t="s">
        <v>125</v>
      </c>
    </row>
    <row r="248" customFormat="false" ht="15" hidden="false" customHeight="false" outlineLevel="0" collapsed="false">
      <c r="A248" s="14" t="s">
        <v>694</v>
      </c>
      <c r="B248" s="15" t="n">
        <v>46034</v>
      </c>
      <c r="C248" s="14" t="s">
        <v>442</v>
      </c>
      <c r="D248" s="14" t="s">
        <v>443</v>
      </c>
      <c r="E248" s="14" t="s">
        <v>121</v>
      </c>
      <c r="F248" s="14" t="s">
        <v>122</v>
      </c>
      <c r="G248" s="14" t="s">
        <v>141</v>
      </c>
      <c r="H248" s="14" t="s">
        <v>62</v>
      </c>
      <c r="I248" s="14" t="str">
        <f aca="false">IFERROR(INDEX(Calculations!$B$6:$B$27,MATCH(H248,Calculations!$A$6:$A$27,0)),"Unknown")</f>
        <v>Mobile Accessories</v>
      </c>
      <c r="J248" s="14" t="n">
        <v>2</v>
      </c>
      <c r="K248" s="16" t="n">
        <v>335.72</v>
      </c>
      <c r="L248" s="17" t="n">
        <v>0.05</v>
      </c>
      <c r="M248" s="18" t="n">
        <f aca="false">J248*K248*(1-L248)</f>
        <v>637.868</v>
      </c>
      <c r="N248" s="18" t="n">
        <f aca="false">J248*IFERROR(INDEX(Calculations!$C$6:$C$27,MATCH(H248,Calculations!$A$6:$A$27,0)),0)</f>
        <v>260</v>
      </c>
      <c r="O248" s="18" t="n">
        <f aca="false">M248-N248</f>
        <v>377.868</v>
      </c>
      <c r="P248" s="18" t="n">
        <f aca="false">M248*IFERROR(INDEX(Calculations!$F$6:$F$11,MATCH(I248,Calculations!$E$6:$E$11,0)),0.1)</f>
        <v>76.54416</v>
      </c>
      <c r="Q248" s="18" t="n">
        <f aca="false">O248-P248</f>
        <v>301.32384</v>
      </c>
      <c r="R248" s="14" t="s">
        <v>243</v>
      </c>
      <c r="S248" s="14" t="s">
        <v>125</v>
      </c>
    </row>
    <row r="249" customFormat="false" ht="15" hidden="false" customHeight="false" outlineLevel="0" collapsed="false">
      <c r="A249" s="14" t="s">
        <v>695</v>
      </c>
      <c r="B249" s="15" t="n">
        <v>46035</v>
      </c>
      <c r="C249" s="14" t="s">
        <v>362</v>
      </c>
      <c r="D249" s="14" t="s">
        <v>363</v>
      </c>
      <c r="E249" s="14" t="s">
        <v>194</v>
      </c>
      <c r="F249" s="14" t="s">
        <v>259</v>
      </c>
      <c r="G249" s="14" t="s">
        <v>147</v>
      </c>
      <c r="H249" s="14" t="s">
        <v>71</v>
      </c>
      <c r="I249" s="14" t="str">
        <f aca="false">IFERROR(INDEX(Calculations!$B$6:$B$27,MATCH(H249,Calculations!$A$6:$A$27,0)),"Unknown")</f>
        <v>Smart Home</v>
      </c>
      <c r="J249" s="14" t="n">
        <v>1</v>
      </c>
      <c r="K249" s="16" t="n">
        <v>890.63</v>
      </c>
      <c r="L249" s="17" t="n">
        <v>0.05</v>
      </c>
      <c r="M249" s="18" t="n">
        <f aca="false">J249*K249*(1-L249)</f>
        <v>846.0985</v>
      </c>
      <c r="N249" s="18" t="n">
        <f aca="false">J249*IFERROR(INDEX(Calculations!$C$6:$C$27,MATCH(H249,Calculations!$A$6:$A$27,0)),0)</f>
        <v>450</v>
      </c>
      <c r="O249" s="18" t="n">
        <f aca="false">M249-N249</f>
        <v>396.0985</v>
      </c>
      <c r="P249" s="18" t="n">
        <f aca="false">M249*IFERROR(INDEX(Calculations!$F$6:$F$11,MATCH(I249,Calculations!$E$6:$E$11,0)),0.1)</f>
        <v>93.070835</v>
      </c>
      <c r="Q249" s="18" t="n">
        <f aca="false">O249-P249</f>
        <v>303.027665</v>
      </c>
      <c r="R249" s="14" t="s">
        <v>130</v>
      </c>
      <c r="S249" s="14" t="s">
        <v>125</v>
      </c>
    </row>
    <row r="250" customFormat="false" ht="15" hidden="false" customHeight="false" outlineLevel="0" collapsed="false">
      <c r="A250" s="14" t="s">
        <v>696</v>
      </c>
      <c r="B250" s="15" t="n">
        <v>46035</v>
      </c>
      <c r="C250" s="14" t="s">
        <v>371</v>
      </c>
      <c r="D250" s="14" t="s">
        <v>372</v>
      </c>
      <c r="E250" s="14" t="s">
        <v>121</v>
      </c>
      <c r="F250" s="14" t="s">
        <v>129</v>
      </c>
      <c r="G250" s="14" t="s">
        <v>161</v>
      </c>
      <c r="H250" s="14" t="s">
        <v>64</v>
      </c>
      <c r="I250" s="14" t="str">
        <f aca="false">IFERROR(INDEX(Calculations!$B$6:$B$27,MATCH(H250,Calculations!$A$6:$A$27,0)),"Unknown")</f>
        <v>Computer Peripherals</v>
      </c>
      <c r="J250" s="14" t="n">
        <v>1</v>
      </c>
      <c r="K250" s="16" t="n">
        <v>803.98</v>
      </c>
      <c r="L250" s="17" t="n">
        <v>0.05</v>
      </c>
      <c r="M250" s="18" t="n">
        <f aca="false">J250*K250*(1-L250)</f>
        <v>763.781</v>
      </c>
      <c r="N250" s="18" t="n">
        <f aca="false">J250*IFERROR(INDEX(Calculations!$C$6:$C$27,MATCH(H250,Calculations!$A$6:$A$27,0)),0)</f>
        <v>350</v>
      </c>
      <c r="O250" s="18" t="n">
        <f aca="false">M250-N250</f>
        <v>413.781</v>
      </c>
      <c r="P250" s="18" t="n">
        <f aca="false">M250*IFERROR(INDEX(Calculations!$F$6:$F$11,MATCH(I250,Calculations!$E$6:$E$11,0)),0.1)</f>
        <v>61.10248</v>
      </c>
      <c r="Q250" s="18" t="n">
        <f aca="false">O250-P250</f>
        <v>352.67852</v>
      </c>
      <c r="R250" s="14" t="s">
        <v>124</v>
      </c>
      <c r="S250" s="14" t="s">
        <v>125</v>
      </c>
    </row>
    <row r="251" customFormat="false" ht="15" hidden="false" customHeight="false" outlineLevel="0" collapsed="false">
      <c r="A251" s="14" t="s">
        <v>697</v>
      </c>
      <c r="B251" s="15" t="n">
        <v>46035</v>
      </c>
      <c r="C251" s="14" t="s">
        <v>458</v>
      </c>
      <c r="D251" s="14" t="s">
        <v>459</v>
      </c>
      <c r="E251" s="14" t="s">
        <v>156</v>
      </c>
      <c r="F251" s="14" t="s">
        <v>157</v>
      </c>
      <c r="G251" s="14" t="s">
        <v>170</v>
      </c>
      <c r="H251" s="14" t="s">
        <v>67</v>
      </c>
      <c r="I251" s="14" t="str">
        <f aca="false">IFERROR(INDEX(Calculations!$B$6:$B$27,MATCH(H251,Calculations!$A$6:$A$27,0)),"Unknown")</f>
        <v>Computer Peripherals</v>
      </c>
      <c r="J251" s="14" t="n">
        <v>1</v>
      </c>
      <c r="K251" s="16" t="n">
        <v>1846.69</v>
      </c>
      <c r="L251" s="17" t="n">
        <v>0.15</v>
      </c>
      <c r="M251" s="18" t="n">
        <f aca="false">J251*K251*(1-L251)</f>
        <v>1569.6865</v>
      </c>
      <c r="N251" s="18" t="n">
        <f aca="false">J251*IFERROR(INDEX(Calculations!$C$6:$C$27,MATCH(H251,Calculations!$A$6:$A$27,0)),0)</f>
        <v>900</v>
      </c>
      <c r="O251" s="18" t="n">
        <f aca="false">M251-N251</f>
        <v>669.6865</v>
      </c>
      <c r="P251" s="18" t="n">
        <f aca="false">M251*IFERROR(INDEX(Calculations!$F$6:$F$11,MATCH(I251,Calculations!$E$6:$E$11,0)),0.1)</f>
        <v>125.57492</v>
      </c>
      <c r="Q251" s="18" t="n">
        <f aca="false">O251-P251</f>
        <v>544.11158</v>
      </c>
      <c r="R251" s="14" t="s">
        <v>124</v>
      </c>
      <c r="S251" s="14" t="s">
        <v>125</v>
      </c>
    </row>
    <row r="252" customFormat="false" ht="15" hidden="false" customHeight="false" outlineLevel="0" collapsed="false">
      <c r="A252" s="14" t="s">
        <v>698</v>
      </c>
      <c r="B252" s="15" t="n">
        <v>46036</v>
      </c>
      <c r="C252" s="14" t="s">
        <v>261</v>
      </c>
      <c r="D252" s="14" t="s">
        <v>262</v>
      </c>
      <c r="E252" s="14" t="s">
        <v>145</v>
      </c>
      <c r="F252" s="14" t="s">
        <v>146</v>
      </c>
      <c r="G252" s="14" t="s">
        <v>123</v>
      </c>
      <c r="H252" s="14" t="s">
        <v>63</v>
      </c>
      <c r="I252" s="14" t="str">
        <f aca="false">IFERROR(INDEX(Calculations!$B$6:$B$27,MATCH(H252,Calculations!$A$6:$A$27,0)),"Unknown")</f>
        <v>Mobile Accessories</v>
      </c>
      <c r="J252" s="14" t="n">
        <v>1</v>
      </c>
      <c r="K252" s="16" t="n">
        <v>356.98</v>
      </c>
      <c r="L252" s="17" t="n">
        <v>0.05</v>
      </c>
      <c r="M252" s="18" t="n">
        <f aca="false">J252*K252*(1-L252)</f>
        <v>339.131</v>
      </c>
      <c r="N252" s="18" t="n">
        <f aca="false">J252*IFERROR(INDEX(Calculations!$C$6:$C$27,MATCH(H252,Calculations!$A$6:$A$27,0)),0)</f>
        <v>150</v>
      </c>
      <c r="O252" s="18" t="n">
        <f aca="false">M252-N252</f>
        <v>189.131</v>
      </c>
      <c r="P252" s="18" t="n">
        <f aca="false">M252*IFERROR(INDEX(Calculations!$F$6:$F$11,MATCH(I252,Calculations!$E$6:$E$11,0)),0.1)</f>
        <v>40.69572</v>
      </c>
      <c r="Q252" s="18" t="n">
        <f aca="false">O252-P252</f>
        <v>148.43528</v>
      </c>
      <c r="R252" s="14" t="s">
        <v>243</v>
      </c>
      <c r="S252" s="14" t="s">
        <v>125</v>
      </c>
    </row>
    <row r="253" customFormat="false" ht="15" hidden="false" customHeight="false" outlineLevel="0" collapsed="false">
      <c r="A253" s="14" t="s">
        <v>699</v>
      </c>
      <c r="B253" s="15" t="n">
        <v>46036</v>
      </c>
      <c r="C253" s="14" t="s">
        <v>700</v>
      </c>
      <c r="D253" s="14" t="s">
        <v>701</v>
      </c>
      <c r="E253" s="14" t="s">
        <v>121</v>
      </c>
      <c r="F253" s="14" t="s">
        <v>129</v>
      </c>
      <c r="G253" s="14" t="s">
        <v>147</v>
      </c>
      <c r="H253" s="14" t="s">
        <v>67</v>
      </c>
      <c r="I253" s="14" t="str">
        <f aca="false">IFERROR(INDEX(Calculations!$B$6:$B$27,MATCH(H253,Calculations!$A$6:$A$27,0)),"Unknown")</f>
        <v>Computer Peripherals</v>
      </c>
      <c r="J253" s="14" t="n">
        <v>2</v>
      </c>
      <c r="K253" s="16" t="n">
        <v>1764.8</v>
      </c>
      <c r="L253" s="17" t="n">
        <v>0.15</v>
      </c>
      <c r="M253" s="18" t="n">
        <f aca="false">J253*K253*(1-L253)</f>
        <v>3000.16</v>
      </c>
      <c r="N253" s="18" t="n">
        <f aca="false">J253*IFERROR(INDEX(Calculations!$C$6:$C$27,MATCH(H253,Calculations!$A$6:$A$27,0)),0)</f>
        <v>1800</v>
      </c>
      <c r="O253" s="18" t="n">
        <f aca="false">M253-N253</f>
        <v>1200.16</v>
      </c>
      <c r="P253" s="18" t="n">
        <f aca="false">M253*IFERROR(INDEX(Calculations!$F$6:$F$11,MATCH(I253,Calculations!$E$6:$E$11,0)),0.1)</f>
        <v>240.0128</v>
      </c>
      <c r="Q253" s="18" t="n">
        <f aca="false">O253-P253</f>
        <v>960.1472</v>
      </c>
      <c r="R253" s="14" t="s">
        <v>124</v>
      </c>
      <c r="S253" s="14" t="s">
        <v>125</v>
      </c>
    </row>
    <row r="254" customFormat="false" ht="15" hidden="false" customHeight="false" outlineLevel="0" collapsed="false">
      <c r="A254" s="14" t="s">
        <v>702</v>
      </c>
      <c r="B254" s="15" t="n">
        <v>46037</v>
      </c>
      <c r="C254" s="14" t="s">
        <v>248</v>
      </c>
      <c r="D254" s="14" t="s">
        <v>249</v>
      </c>
      <c r="E254" s="14" t="s">
        <v>139</v>
      </c>
      <c r="F254" s="14" t="s">
        <v>140</v>
      </c>
      <c r="G254" s="14" t="s">
        <v>147</v>
      </c>
      <c r="H254" s="14" t="s">
        <v>58</v>
      </c>
      <c r="I254" s="14" t="str">
        <f aca="false">IFERROR(INDEX(Calculations!$B$6:$B$27,MATCH(H254,Calculations!$A$6:$A$27,0)),"Unknown")</f>
        <v>Mobile Accessories</v>
      </c>
      <c r="J254" s="14" t="n">
        <v>1</v>
      </c>
      <c r="K254" s="16" t="n">
        <v>505.93</v>
      </c>
      <c r="L254" s="17" t="n">
        <v>0.2</v>
      </c>
      <c r="M254" s="18" t="n">
        <f aca="false">J254*K254*(1-L254)</f>
        <v>404.744</v>
      </c>
      <c r="N254" s="18" t="n">
        <f aca="false">J254*IFERROR(INDEX(Calculations!$C$6:$C$27,MATCH(H254,Calculations!$A$6:$A$27,0)),0)</f>
        <v>220</v>
      </c>
      <c r="O254" s="18" t="n">
        <f aca="false">M254-N254</f>
        <v>184.744</v>
      </c>
      <c r="P254" s="18" t="n">
        <f aca="false">M254*IFERROR(INDEX(Calculations!$F$6:$F$11,MATCH(I254,Calculations!$E$6:$E$11,0)),0.1)</f>
        <v>48.56928</v>
      </c>
      <c r="Q254" s="18" t="n">
        <f aca="false">O254-P254</f>
        <v>136.17472</v>
      </c>
      <c r="R254" s="14" t="s">
        <v>243</v>
      </c>
      <c r="S254" s="14" t="s">
        <v>125</v>
      </c>
    </row>
    <row r="255" customFormat="false" ht="15" hidden="false" customHeight="false" outlineLevel="0" collapsed="false">
      <c r="A255" s="14" t="s">
        <v>703</v>
      </c>
      <c r="B255" s="15" t="n">
        <v>46037</v>
      </c>
      <c r="C255" s="14" t="s">
        <v>154</v>
      </c>
      <c r="D255" s="14" t="s">
        <v>155</v>
      </c>
      <c r="E255" s="14" t="s">
        <v>156</v>
      </c>
      <c r="F255" s="14" t="s">
        <v>157</v>
      </c>
      <c r="G255" s="14" t="s">
        <v>170</v>
      </c>
      <c r="H255" s="14" t="s">
        <v>68</v>
      </c>
      <c r="I255" s="14" t="str">
        <f aca="false">IFERROR(INDEX(Calculations!$B$6:$B$27,MATCH(H255,Calculations!$A$6:$A$27,0)),"Unknown")</f>
        <v>Computer Peripherals</v>
      </c>
      <c r="J255" s="14" t="n">
        <v>3</v>
      </c>
      <c r="K255" s="16" t="n">
        <v>963.95</v>
      </c>
      <c r="L255" s="17" t="n">
        <v>0</v>
      </c>
      <c r="M255" s="18" t="n">
        <f aca="false">J255*K255*(1-L255)</f>
        <v>2891.85</v>
      </c>
      <c r="N255" s="18" t="n">
        <f aca="false">J255*IFERROR(INDEX(Calculations!$C$6:$C$27,MATCH(H255,Calculations!$A$6:$A$27,0)),0)</f>
        <v>1500</v>
      </c>
      <c r="O255" s="18" t="n">
        <f aca="false">M255-N255</f>
        <v>1391.85</v>
      </c>
      <c r="P255" s="18" t="n">
        <f aca="false">M255*IFERROR(INDEX(Calculations!$F$6:$F$11,MATCH(I255,Calculations!$E$6:$E$11,0)),0.1)</f>
        <v>231.348</v>
      </c>
      <c r="Q255" s="18" t="n">
        <f aca="false">O255-P255</f>
        <v>1160.502</v>
      </c>
      <c r="R255" s="14" t="s">
        <v>130</v>
      </c>
      <c r="S255" s="14" t="s">
        <v>125</v>
      </c>
    </row>
    <row r="256" customFormat="false" ht="15" hidden="false" customHeight="false" outlineLevel="0" collapsed="false">
      <c r="A256" s="14" t="s">
        <v>704</v>
      </c>
      <c r="B256" s="15" t="n">
        <v>46038</v>
      </c>
      <c r="C256" s="14" t="s">
        <v>705</v>
      </c>
      <c r="D256" s="14" t="s">
        <v>706</v>
      </c>
      <c r="E256" s="14" t="s">
        <v>156</v>
      </c>
      <c r="F256" s="14" t="s">
        <v>169</v>
      </c>
      <c r="G256" s="14" t="s">
        <v>209</v>
      </c>
      <c r="H256" s="14" t="s">
        <v>73</v>
      </c>
      <c r="I256" s="14" t="str">
        <f aca="false">IFERROR(INDEX(Calculations!$B$6:$B$27,MATCH(H256,Calculations!$A$6:$A$27,0)),"Unknown")</f>
        <v>Wearables</v>
      </c>
      <c r="J256" s="14" t="n">
        <v>2</v>
      </c>
      <c r="K256" s="16" t="n">
        <v>2058.75</v>
      </c>
      <c r="L256" s="17" t="n">
        <v>0.2</v>
      </c>
      <c r="M256" s="18" t="n">
        <f aca="false">J256*K256*(1-L256)</f>
        <v>3294</v>
      </c>
      <c r="N256" s="18" t="n">
        <f aca="false">J256*IFERROR(INDEX(Calculations!$C$6:$C$27,MATCH(H256,Calculations!$A$6:$A$27,0)),0)</f>
        <v>2200</v>
      </c>
      <c r="O256" s="18" t="n">
        <f aca="false">M256-N256</f>
        <v>1094</v>
      </c>
      <c r="P256" s="18" t="n">
        <f aca="false">M256*IFERROR(INDEX(Calculations!$F$6:$F$11,MATCH(I256,Calculations!$E$6:$E$11,0)),0.1)</f>
        <v>296.46</v>
      </c>
      <c r="Q256" s="18" t="n">
        <f aca="false">O256-P256</f>
        <v>797.54</v>
      </c>
      <c r="R256" s="14" t="s">
        <v>124</v>
      </c>
      <c r="S256" s="14" t="s">
        <v>205</v>
      </c>
    </row>
    <row r="257" customFormat="false" ht="15" hidden="false" customHeight="false" outlineLevel="0" collapsed="false">
      <c r="A257" s="14" t="s">
        <v>707</v>
      </c>
      <c r="B257" s="15" t="n">
        <v>46039</v>
      </c>
      <c r="C257" s="14" t="s">
        <v>254</v>
      </c>
      <c r="D257" s="14" t="s">
        <v>255</v>
      </c>
      <c r="E257" s="14" t="s">
        <v>156</v>
      </c>
      <c r="F257" s="14" t="s">
        <v>169</v>
      </c>
      <c r="G257" s="14" t="s">
        <v>209</v>
      </c>
      <c r="H257" s="14" t="s">
        <v>67</v>
      </c>
      <c r="I257" s="14" t="str">
        <f aca="false">IFERROR(INDEX(Calculations!$B$6:$B$27,MATCH(H257,Calculations!$A$6:$A$27,0)),"Unknown")</f>
        <v>Computer Peripherals</v>
      </c>
      <c r="J257" s="14" t="n">
        <v>6</v>
      </c>
      <c r="K257" s="16" t="n">
        <v>1811.05</v>
      </c>
      <c r="L257" s="17" t="n">
        <v>0.1</v>
      </c>
      <c r="M257" s="18" t="n">
        <f aca="false">J257*K257*(1-L257)</f>
        <v>9779.67</v>
      </c>
      <c r="N257" s="18" t="n">
        <f aca="false">J257*IFERROR(INDEX(Calculations!$C$6:$C$27,MATCH(H257,Calculations!$A$6:$A$27,0)),0)</f>
        <v>5400</v>
      </c>
      <c r="O257" s="18" t="n">
        <f aca="false">M257-N257</f>
        <v>4379.67</v>
      </c>
      <c r="P257" s="18" t="n">
        <f aca="false">M257*IFERROR(INDEX(Calculations!$F$6:$F$11,MATCH(I257,Calculations!$E$6:$E$11,0)),0.1)</f>
        <v>782.3736</v>
      </c>
      <c r="Q257" s="18" t="n">
        <f aca="false">O257-P257</f>
        <v>3597.2964</v>
      </c>
      <c r="R257" s="14" t="s">
        <v>135</v>
      </c>
      <c r="S257" s="14" t="s">
        <v>125</v>
      </c>
    </row>
    <row r="258" customFormat="false" ht="15" hidden="false" customHeight="false" outlineLevel="0" collapsed="false">
      <c r="A258" s="14" t="s">
        <v>708</v>
      </c>
      <c r="B258" s="15" t="n">
        <v>46039</v>
      </c>
      <c r="C258" s="14" t="s">
        <v>709</v>
      </c>
      <c r="D258" s="14" t="s">
        <v>710</v>
      </c>
      <c r="E258" s="14" t="s">
        <v>156</v>
      </c>
      <c r="F258" s="14" t="s">
        <v>157</v>
      </c>
      <c r="G258" s="14" t="s">
        <v>170</v>
      </c>
      <c r="H258" s="14" t="s">
        <v>70</v>
      </c>
      <c r="I258" s="14" t="str">
        <f aca="false">IFERROR(INDEX(Calculations!$B$6:$B$27,MATCH(H258,Calculations!$A$6:$A$27,0)),"Unknown")</f>
        <v>Smart Home</v>
      </c>
      <c r="J258" s="14" t="n">
        <v>3</v>
      </c>
      <c r="K258" s="16" t="n">
        <v>3955.27</v>
      </c>
      <c r="L258" s="17" t="n">
        <v>0.05</v>
      </c>
      <c r="M258" s="18" t="n">
        <f aca="false">J258*K258*(1-L258)</f>
        <v>11272.5195</v>
      </c>
      <c r="N258" s="18" t="n">
        <f aca="false">J258*IFERROR(INDEX(Calculations!$C$6:$C$27,MATCH(H258,Calculations!$A$6:$A$27,0)),0)</f>
        <v>6600</v>
      </c>
      <c r="O258" s="18" t="n">
        <f aca="false">M258-N258</f>
        <v>4672.5195</v>
      </c>
      <c r="P258" s="18" t="n">
        <f aca="false">M258*IFERROR(INDEX(Calculations!$F$6:$F$11,MATCH(I258,Calculations!$E$6:$E$11,0)),0.1)</f>
        <v>1239.977145</v>
      </c>
      <c r="Q258" s="18" t="n">
        <f aca="false">O258-P258</f>
        <v>3432.542355</v>
      </c>
      <c r="R258" s="14" t="s">
        <v>130</v>
      </c>
      <c r="S258" s="14" t="s">
        <v>125</v>
      </c>
    </row>
    <row r="259" customFormat="false" ht="15" hidden="false" customHeight="false" outlineLevel="0" collapsed="false">
      <c r="A259" s="14" t="s">
        <v>711</v>
      </c>
      <c r="B259" s="15" t="n">
        <v>46039</v>
      </c>
      <c r="C259" s="14" t="s">
        <v>712</v>
      </c>
      <c r="D259" s="14" t="s">
        <v>713</v>
      </c>
      <c r="E259" s="14" t="s">
        <v>145</v>
      </c>
      <c r="F259" s="14" t="s">
        <v>146</v>
      </c>
      <c r="G259" s="14" t="s">
        <v>141</v>
      </c>
      <c r="H259" s="14" t="s">
        <v>71</v>
      </c>
      <c r="I259" s="14" t="str">
        <f aca="false">IFERROR(INDEX(Calculations!$B$6:$B$27,MATCH(H259,Calculations!$A$6:$A$27,0)),"Unknown")</f>
        <v>Smart Home</v>
      </c>
      <c r="J259" s="14" t="n">
        <v>1</v>
      </c>
      <c r="K259" s="16" t="n">
        <v>910.18</v>
      </c>
      <c r="L259" s="17" t="n">
        <v>0</v>
      </c>
      <c r="M259" s="18" t="n">
        <f aca="false">J259*K259*(1-L259)</f>
        <v>910.18</v>
      </c>
      <c r="N259" s="18" t="n">
        <f aca="false">J259*IFERROR(INDEX(Calculations!$C$6:$C$27,MATCH(H259,Calculations!$A$6:$A$27,0)),0)</f>
        <v>450</v>
      </c>
      <c r="O259" s="18" t="n">
        <f aca="false">M259-N259</f>
        <v>460.18</v>
      </c>
      <c r="P259" s="18" t="n">
        <f aca="false">M259*IFERROR(INDEX(Calculations!$F$6:$F$11,MATCH(I259,Calculations!$E$6:$E$11,0)),0.1)</f>
        <v>100.1198</v>
      </c>
      <c r="Q259" s="18" t="n">
        <f aca="false">O259-P259</f>
        <v>360.0602</v>
      </c>
      <c r="R259" s="14" t="s">
        <v>135</v>
      </c>
      <c r="S259" s="14" t="s">
        <v>205</v>
      </c>
    </row>
    <row r="260" customFormat="false" ht="15" hidden="false" customHeight="false" outlineLevel="0" collapsed="false">
      <c r="A260" s="14" t="s">
        <v>714</v>
      </c>
      <c r="B260" s="15" t="n">
        <v>46039</v>
      </c>
      <c r="C260" s="14" t="s">
        <v>715</v>
      </c>
      <c r="D260" s="14" t="s">
        <v>716</v>
      </c>
      <c r="E260" s="14" t="s">
        <v>139</v>
      </c>
      <c r="F260" s="14" t="s">
        <v>140</v>
      </c>
      <c r="G260" s="14" t="s">
        <v>209</v>
      </c>
      <c r="H260" s="14" t="s">
        <v>52</v>
      </c>
      <c r="I260" s="14" t="str">
        <f aca="false">IFERROR(INDEX(Calculations!$B$6:$B$27,MATCH(H260,Calculations!$A$6:$A$27,0)),"Unknown")</f>
        <v>Audio</v>
      </c>
      <c r="J260" s="14" t="n">
        <v>4</v>
      </c>
      <c r="K260" s="16" t="n">
        <v>1967.61</v>
      </c>
      <c r="L260" s="17" t="n">
        <v>0</v>
      </c>
      <c r="M260" s="18" t="n">
        <f aca="false">J260*K260*(1-L260)</f>
        <v>7870.44</v>
      </c>
      <c r="N260" s="18" t="n">
        <f aca="false">J260*IFERROR(INDEX(Calculations!$C$6:$C$27,MATCH(H260,Calculations!$A$6:$A$27,0)),0)</f>
        <v>3600</v>
      </c>
      <c r="O260" s="18" t="n">
        <f aca="false">M260-N260</f>
        <v>4270.44</v>
      </c>
      <c r="P260" s="18" t="n">
        <f aca="false">M260*IFERROR(INDEX(Calculations!$F$6:$F$11,MATCH(I260,Calculations!$E$6:$E$11,0)),0.1)</f>
        <v>787.044</v>
      </c>
      <c r="Q260" s="18" t="n">
        <f aca="false">O260-P260</f>
        <v>3483.396</v>
      </c>
      <c r="R260" s="14" t="s">
        <v>165</v>
      </c>
      <c r="S260" s="14" t="s">
        <v>125</v>
      </c>
    </row>
    <row r="261" customFormat="false" ht="15" hidden="false" customHeight="false" outlineLevel="0" collapsed="false">
      <c r="A261" s="14" t="s">
        <v>717</v>
      </c>
      <c r="B261" s="15" t="n">
        <v>46039</v>
      </c>
      <c r="C261" s="14" t="s">
        <v>639</v>
      </c>
      <c r="D261" s="14" t="s">
        <v>640</v>
      </c>
      <c r="E261" s="14" t="s">
        <v>121</v>
      </c>
      <c r="F261" s="14" t="s">
        <v>122</v>
      </c>
      <c r="G261" s="14" t="s">
        <v>141</v>
      </c>
      <c r="H261" s="14" t="s">
        <v>77</v>
      </c>
      <c r="I261" s="14" t="str">
        <f aca="false">IFERROR(INDEX(Calculations!$B$6:$B$27,MATCH(H261,Calculations!$A$6:$A$27,0)),"Unknown")</f>
        <v>Cameras</v>
      </c>
      <c r="J261" s="14" t="n">
        <v>2</v>
      </c>
      <c r="K261" s="16" t="n">
        <v>5292.35</v>
      </c>
      <c r="L261" s="17" t="n">
        <v>0.05</v>
      </c>
      <c r="M261" s="18" t="n">
        <f aca="false">J261*K261*(1-L261)</f>
        <v>10055.465</v>
      </c>
      <c r="N261" s="18" t="n">
        <f aca="false">J261*IFERROR(INDEX(Calculations!$C$6:$C$27,MATCH(H261,Calculations!$A$6:$A$27,0)),0)</f>
        <v>6200</v>
      </c>
      <c r="O261" s="18" t="n">
        <f aca="false">M261-N261</f>
        <v>3855.465</v>
      </c>
      <c r="P261" s="18" t="n">
        <f aca="false">M261*IFERROR(INDEX(Calculations!$F$6:$F$11,MATCH(I261,Calculations!$E$6:$E$11,0)),0.1)</f>
        <v>754.159875</v>
      </c>
      <c r="Q261" s="18" t="n">
        <f aca="false">O261-P261</f>
        <v>3101.305125</v>
      </c>
      <c r="R261" s="14" t="s">
        <v>124</v>
      </c>
      <c r="S261" s="14" t="s">
        <v>125</v>
      </c>
    </row>
    <row r="262" customFormat="false" ht="15" hidden="false" customHeight="false" outlineLevel="0" collapsed="false">
      <c r="A262" s="14" t="s">
        <v>718</v>
      </c>
      <c r="B262" s="15" t="n">
        <v>46040</v>
      </c>
      <c r="C262" s="14" t="s">
        <v>719</v>
      </c>
      <c r="D262" s="14" t="s">
        <v>720</v>
      </c>
      <c r="E262" s="14" t="s">
        <v>121</v>
      </c>
      <c r="F262" s="14" t="s">
        <v>122</v>
      </c>
      <c r="G262" s="14" t="s">
        <v>134</v>
      </c>
      <c r="H262" s="14" t="s">
        <v>63</v>
      </c>
      <c r="I262" s="14" t="str">
        <f aca="false">IFERROR(INDEX(Calculations!$B$6:$B$27,MATCH(H262,Calculations!$A$6:$A$27,0)),"Unknown")</f>
        <v>Mobile Accessories</v>
      </c>
      <c r="J262" s="14" t="n">
        <v>1</v>
      </c>
      <c r="K262" s="16" t="n">
        <v>352.72</v>
      </c>
      <c r="L262" s="17" t="n">
        <v>0.05</v>
      </c>
      <c r="M262" s="18" t="n">
        <f aca="false">J262*K262*(1-L262)</f>
        <v>335.084</v>
      </c>
      <c r="N262" s="18" t="n">
        <f aca="false">J262*IFERROR(INDEX(Calculations!$C$6:$C$27,MATCH(H262,Calculations!$A$6:$A$27,0)),0)</f>
        <v>150</v>
      </c>
      <c r="O262" s="18" t="n">
        <f aca="false">M262-N262</f>
        <v>185.084</v>
      </c>
      <c r="P262" s="18" t="n">
        <f aca="false">M262*IFERROR(INDEX(Calculations!$F$6:$F$11,MATCH(I262,Calculations!$E$6:$E$11,0)),0.1)</f>
        <v>40.21008</v>
      </c>
      <c r="Q262" s="18" t="n">
        <f aca="false">O262-P262</f>
        <v>144.87392</v>
      </c>
      <c r="R262" s="14" t="s">
        <v>130</v>
      </c>
      <c r="S262" s="14" t="s">
        <v>125</v>
      </c>
    </row>
    <row r="263" customFormat="false" ht="15" hidden="false" customHeight="false" outlineLevel="0" collapsed="false">
      <c r="A263" s="14" t="s">
        <v>721</v>
      </c>
      <c r="B263" s="15" t="n">
        <v>46040</v>
      </c>
      <c r="C263" s="14" t="s">
        <v>525</v>
      </c>
      <c r="D263" s="14" t="s">
        <v>526</v>
      </c>
      <c r="E263" s="14" t="s">
        <v>139</v>
      </c>
      <c r="F263" s="14" t="s">
        <v>140</v>
      </c>
      <c r="G263" s="14" t="s">
        <v>161</v>
      </c>
      <c r="H263" s="14" t="s">
        <v>62</v>
      </c>
      <c r="I263" s="14" t="str">
        <f aca="false">IFERROR(INDEX(Calculations!$B$6:$B$27,MATCH(H263,Calculations!$A$6:$A$27,0)),"Unknown")</f>
        <v>Mobile Accessories</v>
      </c>
      <c r="J263" s="14" t="n">
        <v>5</v>
      </c>
      <c r="K263" s="16" t="n">
        <v>335.47</v>
      </c>
      <c r="L263" s="17" t="n">
        <v>0.2</v>
      </c>
      <c r="M263" s="18" t="n">
        <f aca="false">J263*K263*(1-L263)</f>
        <v>1341.88</v>
      </c>
      <c r="N263" s="18" t="n">
        <f aca="false">J263*IFERROR(INDEX(Calculations!$C$6:$C$27,MATCH(H263,Calculations!$A$6:$A$27,0)),0)</f>
        <v>650</v>
      </c>
      <c r="O263" s="18" t="n">
        <f aca="false">M263-N263</f>
        <v>691.88</v>
      </c>
      <c r="P263" s="18" t="n">
        <f aca="false">M263*IFERROR(INDEX(Calculations!$F$6:$F$11,MATCH(I263,Calculations!$E$6:$E$11,0)),0.1)</f>
        <v>161.0256</v>
      </c>
      <c r="Q263" s="18" t="n">
        <f aca="false">O263-P263</f>
        <v>530.8544</v>
      </c>
      <c r="R263" s="14" t="s">
        <v>243</v>
      </c>
      <c r="S263" s="14" t="s">
        <v>125</v>
      </c>
    </row>
    <row r="264" customFormat="false" ht="15" hidden="false" customHeight="false" outlineLevel="0" collapsed="false">
      <c r="A264" s="14" t="s">
        <v>722</v>
      </c>
      <c r="B264" s="15" t="n">
        <v>46040</v>
      </c>
      <c r="C264" s="14" t="s">
        <v>723</v>
      </c>
      <c r="D264" s="14" t="s">
        <v>724</v>
      </c>
      <c r="E264" s="14" t="s">
        <v>156</v>
      </c>
      <c r="F264" s="14" t="s">
        <v>157</v>
      </c>
      <c r="G264" s="14" t="s">
        <v>170</v>
      </c>
      <c r="H264" s="14" t="s">
        <v>65</v>
      </c>
      <c r="I264" s="14" t="str">
        <f aca="false">IFERROR(INDEX(Calculations!$B$6:$B$27,MATCH(H264,Calculations!$A$6:$A$27,0)),"Unknown")</f>
        <v>Computer Peripherals</v>
      </c>
      <c r="J264" s="14" t="n">
        <v>2</v>
      </c>
      <c r="K264" s="16" t="n">
        <v>3111.22</v>
      </c>
      <c r="L264" s="17" t="n">
        <v>0.05</v>
      </c>
      <c r="M264" s="18" t="n">
        <f aca="false">J264*K264*(1-L264)</f>
        <v>5911.318</v>
      </c>
      <c r="N264" s="18" t="n">
        <f aca="false">J264*IFERROR(INDEX(Calculations!$C$6:$C$27,MATCH(H264,Calculations!$A$6:$A$27,0)),0)</f>
        <v>3200</v>
      </c>
      <c r="O264" s="18" t="n">
        <f aca="false">M264-N264</f>
        <v>2711.318</v>
      </c>
      <c r="P264" s="18" t="n">
        <f aca="false">M264*IFERROR(INDEX(Calculations!$F$6:$F$11,MATCH(I264,Calculations!$E$6:$E$11,0)),0.1)</f>
        <v>472.90544</v>
      </c>
      <c r="Q264" s="18" t="n">
        <f aca="false">O264-P264</f>
        <v>2238.41256</v>
      </c>
      <c r="R264" s="14" t="s">
        <v>124</v>
      </c>
      <c r="S264" s="14" t="s">
        <v>125</v>
      </c>
    </row>
    <row r="265" customFormat="false" ht="15" hidden="false" customHeight="false" outlineLevel="0" collapsed="false">
      <c r="A265" s="14" t="s">
        <v>725</v>
      </c>
      <c r="B265" s="15" t="n">
        <v>46040</v>
      </c>
      <c r="C265" s="14" t="s">
        <v>726</v>
      </c>
      <c r="D265" s="14" t="s">
        <v>727</v>
      </c>
      <c r="E265" s="14" t="s">
        <v>156</v>
      </c>
      <c r="F265" s="14" t="s">
        <v>157</v>
      </c>
      <c r="G265" s="14" t="s">
        <v>147</v>
      </c>
      <c r="H265" s="14" t="s">
        <v>65</v>
      </c>
      <c r="I265" s="14" t="str">
        <f aca="false">IFERROR(INDEX(Calculations!$B$6:$B$27,MATCH(H265,Calculations!$A$6:$A$27,0)),"Unknown")</f>
        <v>Computer Peripherals</v>
      </c>
      <c r="J265" s="14" t="n">
        <v>3</v>
      </c>
      <c r="K265" s="16" t="n">
        <v>3242.73</v>
      </c>
      <c r="L265" s="17" t="n">
        <v>0.05</v>
      </c>
      <c r="M265" s="18" t="n">
        <f aca="false">J265*K265*(1-L265)</f>
        <v>9241.7805</v>
      </c>
      <c r="N265" s="18" t="n">
        <f aca="false">J265*IFERROR(INDEX(Calculations!$C$6:$C$27,MATCH(H265,Calculations!$A$6:$A$27,0)),0)</f>
        <v>4800</v>
      </c>
      <c r="O265" s="18" t="n">
        <f aca="false">M265-N265</f>
        <v>4441.7805</v>
      </c>
      <c r="P265" s="18" t="n">
        <f aca="false">M265*IFERROR(INDEX(Calculations!$F$6:$F$11,MATCH(I265,Calculations!$E$6:$E$11,0)),0.1)</f>
        <v>739.34244</v>
      </c>
      <c r="Q265" s="18" t="n">
        <f aca="false">O265-P265</f>
        <v>3702.43806</v>
      </c>
      <c r="R265" s="14" t="s">
        <v>243</v>
      </c>
      <c r="S265" s="14" t="s">
        <v>125</v>
      </c>
    </row>
    <row r="266" customFormat="false" ht="15" hidden="false" customHeight="false" outlineLevel="0" collapsed="false">
      <c r="A266" s="14" t="s">
        <v>728</v>
      </c>
      <c r="B266" s="15" t="n">
        <v>46041</v>
      </c>
      <c r="C266" s="14" t="s">
        <v>639</v>
      </c>
      <c r="D266" s="14" t="s">
        <v>640</v>
      </c>
      <c r="E266" s="14" t="s">
        <v>121</v>
      </c>
      <c r="F266" s="14" t="s">
        <v>122</v>
      </c>
      <c r="G266" s="14" t="s">
        <v>209</v>
      </c>
      <c r="H266" s="14" t="s">
        <v>77</v>
      </c>
      <c r="I266" s="14" t="str">
        <f aca="false">IFERROR(INDEX(Calculations!$B$6:$B$27,MATCH(H266,Calculations!$A$6:$A$27,0)),"Unknown")</f>
        <v>Cameras</v>
      </c>
      <c r="J266" s="14" t="n">
        <v>1</v>
      </c>
      <c r="K266" s="16" t="n">
        <v>5377.29</v>
      </c>
      <c r="L266" s="17" t="n">
        <v>0.15</v>
      </c>
      <c r="M266" s="18" t="n">
        <f aca="false">J266*K266*(1-L266)</f>
        <v>4570.6965</v>
      </c>
      <c r="N266" s="18" t="n">
        <f aca="false">J266*IFERROR(INDEX(Calculations!$C$6:$C$27,MATCH(H266,Calculations!$A$6:$A$27,0)),0)</f>
        <v>3100</v>
      </c>
      <c r="O266" s="18" t="n">
        <f aca="false">M266-N266</f>
        <v>1470.6965</v>
      </c>
      <c r="P266" s="18" t="n">
        <f aca="false">M266*IFERROR(INDEX(Calculations!$F$6:$F$11,MATCH(I266,Calculations!$E$6:$E$11,0)),0.1)</f>
        <v>342.8022375</v>
      </c>
      <c r="Q266" s="18" t="n">
        <f aca="false">O266-P266</f>
        <v>1127.8942625</v>
      </c>
      <c r="R266" s="14" t="s">
        <v>124</v>
      </c>
      <c r="S266" s="14" t="s">
        <v>205</v>
      </c>
    </row>
    <row r="267" customFormat="false" ht="15" hidden="false" customHeight="false" outlineLevel="0" collapsed="false">
      <c r="A267" s="14" t="s">
        <v>729</v>
      </c>
      <c r="B267" s="15" t="n">
        <v>46042</v>
      </c>
      <c r="C267" s="14" t="s">
        <v>601</v>
      </c>
      <c r="D267" s="14" t="s">
        <v>602</v>
      </c>
      <c r="E267" s="14" t="s">
        <v>139</v>
      </c>
      <c r="F267" s="14" t="s">
        <v>152</v>
      </c>
      <c r="G267" s="14" t="s">
        <v>175</v>
      </c>
      <c r="H267" s="14" t="s">
        <v>75</v>
      </c>
      <c r="I267" s="14" t="str">
        <f aca="false">IFERROR(INDEX(Calculations!$B$6:$B$27,MATCH(H267,Calculations!$A$6:$A$27,0)),"Unknown")</f>
        <v>Wearables</v>
      </c>
      <c r="J267" s="14" t="n">
        <v>4</v>
      </c>
      <c r="K267" s="16" t="n">
        <v>3174.53</v>
      </c>
      <c r="L267" s="17" t="n">
        <v>0</v>
      </c>
      <c r="M267" s="18" t="n">
        <f aca="false">J267*K267*(1-L267)</f>
        <v>12698.12</v>
      </c>
      <c r="N267" s="18" t="n">
        <f aca="false">J267*IFERROR(INDEX(Calculations!$C$6:$C$27,MATCH(H267,Calculations!$A$6:$A$27,0)),0)</f>
        <v>7600</v>
      </c>
      <c r="O267" s="18" t="n">
        <f aca="false">M267-N267</f>
        <v>5098.12</v>
      </c>
      <c r="P267" s="18" t="n">
        <f aca="false">M267*IFERROR(INDEX(Calculations!$F$6:$F$11,MATCH(I267,Calculations!$E$6:$E$11,0)),0.1)</f>
        <v>1142.8308</v>
      </c>
      <c r="Q267" s="18" t="n">
        <f aca="false">O267-P267</f>
        <v>3955.2892</v>
      </c>
      <c r="R267" s="14" t="s">
        <v>135</v>
      </c>
      <c r="S267" s="14" t="s">
        <v>125</v>
      </c>
    </row>
    <row r="268" customFormat="false" ht="15" hidden="false" customHeight="false" outlineLevel="0" collapsed="false">
      <c r="A268" s="14" t="s">
        <v>730</v>
      </c>
      <c r="B268" s="15" t="n">
        <v>46042</v>
      </c>
      <c r="C268" s="14" t="s">
        <v>335</v>
      </c>
      <c r="D268" s="14" t="s">
        <v>336</v>
      </c>
      <c r="E268" s="14" t="s">
        <v>194</v>
      </c>
      <c r="F268" s="14" t="s">
        <v>259</v>
      </c>
      <c r="G268" s="14" t="s">
        <v>123</v>
      </c>
      <c r="H268" s="14" t="s">
        <v>72</v>
      </c>
      <c r="I268" s="14" t="str">
        <f aca="false">IFERROR(INDEX(Calculations!$B$6:$B$27,MATCH(H268,Calculations!$A$6:$A$27,0)),"Unknown")</f>
        <v>Smart Home</v>
      </c>
      <c r="J268" s="14" t="n">
        <v>4</v>
      </c>
      <c r="K268" s="16" t="n">
        <v>4677.33</v>
      </c>
      <c r="L268" s="17" t="n">
        <v>0.05</v>
      </c>
      <c r="M268" s="18" t="n">
        <f aca="false">J268*K268*(1-L268)</f>
        <v>17773.854</v>
      </c>
      <c r="N268" s="18" t="n">
        <f aca="false">J268*IFERROR(INDEX(Calculations!$C$6:$C$27,MATCH(H268,Calculations!$A$6:$A$27,0)),0)</f>
        <v>10400</v>
      </c>
      <c r="O268" s="18" t="n">
        <f aca="false">M268-N268</f>
        <v>7373.854</v>
      </c>
      <c r="P268" s="18" t="n">
        <f aca="false">M268*IFERROR(INDEX(Calculations!$F$6:$F$11,MATCH(I268,Calculations!$E$6:$E$11,0)),0.1)</f>
        <v>1955.12394</v>
      </c>
      <c r="Q268" s="18" t="n">
        <f aca="false">O268-P268</f>
        <v>5418.73006</v>
      </c>
      <c r="R268" s="14" t="s">
        <v>243</v>
      </c>
      <c r="S268" s="14" t="s">
        <v>125</v>
      </c>
    </row>
    <row r="269" customFormat="false" ht="15" hidden="false" customHeight="false" outlineLevel="0" collapsed="false">
      <c r="A269" s="14" t="s">
        <v>731</v>
      </c>
      <c r="B269" s="15" t="n">
        <v>46043</v>
      </c>
      <c r="C269" s="14" t="s">
        <v>611</v>
      </c>
      <c r="D269" s="14" t="s">
        <v>612</v>
      </c>
      <c r="E269" s="14" t="s">
        <v>156</v>
      </c>
      <c r="F269" s="14" t="s">
        <v>169</v>
      </c>
      <c r="G269" s="14" t="s">
        <v>141</v>
      </c>
      <c r="H269" s="14" t="s">
        <v>65</v>
      </c>
      <c r="I269" s="14" t="str">
        <f aca="false">IFERROR(INDEX(Calculations!$B$6:$B$27,MATCH(H269,Calculations!$A$6:$A$27,0)),"Unknown")</f>
        <v>Computer Peripherals</v>
      </c>
      <c r="J269" s="14" t="n">
        <v>1</v>
      </c>
      <c r="K269" s="16" t="n">
        <v>3293.66</v>
      </c>
      <c r="L269" s="17" t="n">
        <v>0.05</v>
      </c>
      <c r="M269" s="18" t="n">
        <f aca="false">J269*K269*(1-L269)</f>
        <v>3128.977</v>
      </c>
      <c r="N269" s="18" t="n">
        <f aca="false">J269*IFERROR(INDEX(Calculations!$C$6:$C$27,MATCH(H269,Calculations!$A$6:$A$27,0)),0)</f>
        <v>1600</v>
      </c>
      <c r="O269" s="18" t="n">
        <f aca="false">M269-N269</f>
        <v>1528.977</v>
      </c>
      <c r="P269" s="18" t="n">
        <f aca="false">M269*IFERROR(INDEX(Calculations!$F$6:$F$11,MATCH(I269,Calculations!$E$6:$E$11,0)),0.1)</f>
        <v>250.31816</v>
      </c>
      <c r="Q269" s="18" t="n">
        <f aca="false">O269-P269</f>
        <v>1278.65884</v>
      </c>
      <c r="R269" s="14" t="s">
        <v>124</v>
      </c>
      <c r="S269" s="14" t="s">
        <v>125</v>
      </c>
    </row>
    <row r="270" customFormat="false" ht="15" hidden="false" customHeight="false" outlineLevel="0" collapsed="false">
      <c r="A270" s="14" t="s">
        <v>732</v>
      </c>
      <c r="B270" s="15" t="n">
        <v>46043</v>
      </c>
      <c r="C270" s="14" t="s">
        <v>274</v>
      </c>
      <c r="D270" s="14" t="s">
        <v>275</v>
      </c>
      <c r="E270" s="14" t="s">
        <v>156</v>
      </c>
      <c r="F270" s="14" t="s">
        <v>157</v>
      </c>
      <c r="G270" s="14" t="s">
        <v>209</v>
      </c>
      <c r="H270" s="14" t="s">
        <v>62</v>
      </c>
      <c r="I270" s="14" t="str">
        <f aca="false">IFERROR(INDEX(Calculations!$B$6:$B$27,MATCH(H270,Calculations!$A$6:$A$27,0)),"Unknown")</f>
        <v>Mobile Accessories</v>
      </c>
      <c r="J270" s="14" t="n">
        <v>3</v>
      </c>
      <c r="K270" s="16" t="n">
        <v>336.34</v>
      </c>
      <c r="L270" s="17" t="n">
        <v>0.1</v>
      </c>
      <c r="M270" s="18" t="n">
        <f aca="false">J270*K270*(1-L270)</f>
        <v>908.118</v>
      </c>
      <c r="N270" s="18" t="n">
        <f aca="false">J270*IFERROR(INDEX(Calculations!$C$6:$C$27,MATCH(H270,Calculations!$A$6:$A$27,0)),0)</f>
        <v>390</v>
      </c>
      <c r="O270" s="18" t="n">
        <f aca="false">M270-N270</f>
        <v>518.118</v>
      </c>
      <c r="P270" s="18" t="n">
        <f aca="false">M270*IFERROR(INDEX(Calculations!$F$6:$F$11,MATCH(I270,Calculations!$E$6:$E$11,0)),0.1)</f>
        <v>108.97416</v>
      </c>
      <c r="Q270" s="18" t="n">
        <f aca="false">O270-P270</f>
        <v>409.14384</v>
      </c>
      <c r="R270" s="14" t="s">
        <v>135</v>
      </c>
      <c r="S270" s="14" t="s">
        <v>125</v>
      </c>
    </row>
    <row r="271" customFormat="false" ht="15" hidden="false" customHeight="false" outlineLevel="0" collapsed="false">
      <c r="A271" s="14" t="s">
        <v>733</v>
      </c>
      <c r="B271" s="15" t="n">
        <v>46044</v>
      </c>
      <c r="C271" s="14" t="s">
        <v>392</v>
      </c>
      <c r="D271" s="14" t="s">
        <v>393</v>
      </c>
      <c r="E271" s="14" t="s">
        <v>194</v>
      </c>
      <c r="F271" s="14" t="s">
        <v>195</v>
      </c>
      <c r="G271" s="14" t="s">
        <v>134</v>
      </c>
      <c r="H271" s="14" t="s">
        <v>58</v>
      </c>
      <c r="I271" s="14" t="str">
        <f aca="false">IFERROR(INDEX(Calculations!$B$6:$B$27,MATCH(H271,Calculations!$A$6:$A$27,0)),"Unknown")</f>
        <v>Mobile Accessories</v>
      </c>
      <c r="J271" s="14" t="n">
        <v>5</v>
      </c>
      <c r="K271" s="16" t="n">
        <v>512.74</v>
      </c>
      <c r="L271" s="17" t="n">
        <v>0.05</v>
      </c>
      <c r="M271" s="18" t="n">
        <f aca="false">J271*K271*(1-L271)</f>
        <v>2435.515</v>
      </c>
      <c r="N271" s="18" t="n">
        <f aca="false">J271*IFERROR(INDEX(Calculations!$C$6:$C$27,MATCH(H271,Calculations!$A$6:$A$27,0)),0)</f>
        <v>1100</v>
      </c>
      <c r="O271" s="18" t="n">
        <f aca="false">M271-N271</f>
        <v>1335.515</v>
      </c>
      <c r="P271" s="18" t="n">
        <f aca="false">M271*IFERROR(INDEX(Calculations!$F$6:$F$11,MATCH(I271,Calculations!$E$6:$E$11,0)),0.1)</f>
        <v>292.2618</v>
      </c>
      <c r="Q271" s="18" t="n">
        <f aca="false">O271-P271</f>
        <v>1043.2532</v>
      </c>
      <c r="R271" s="14" t="s">
        <v>130</v>
      </c>
      <c r="S271" s="14" t="s">
        <v>125</v>
      </c>
    </row>
    <row r="272" customFormat="false" ht="15" hidden="false" customHeight="false" outlineLevel="0" collapsed="false">
      <c r="A272" s="14" t="s">
        <v>734</v>
      </c>
      <c r="B272" s="15" t="n">
        <v>46044</v>
      </c>
      <c r="C272" s="14" t="s">
        <v>735</v>
      </c>
      <c r="D272" s="14" t="s">
        <v>736</v>
      </c>
      <c r="E272" s="14" t="s">
        <v>121</v>
      </c>
      <c r="F272" s="14" t="s">
        <v>122</v>
      </c>
      <c r="G272" s="14" t="s">
        <v>147</v>
      </c>
      <c r="H272" s="14" t="s">
        <v>54</v>
      </c>
      <c r="I272" s="14" t="str">
        <f aca="false">IFERROR(INDEX(Calculations!$B$6:$B$27,MATCH(H272,Calculations!$A$6:$A$27,0)),"Unknown")</f>
        <v>Audio</v>
      </c>
      <c r="J272" s="14" t="n">
        <v>4</v>
      </c>
      <c r="K272" s="16" t="n">
        <v>2819.37</v>
      </c>
      <c r="L272" s="17" t="n">
        <v>0.1</v>
      </c>
      <c r="M272" s="18" t="n">
        <f aca="false">J272*K272*(1-L272)</f>
        <v>10149.732</v>
      </c>
      <c r="N272" s="18" t="n">
        <f aca="false">J272*IFERROR(INDEX(Calculations!$C$6:$C$27,MATCH(H272,Calculations!$A$6:$A$27,0)),0)</f>
        <v>5600</v>
      </c>
      <c r="O272" s="18" t="n">
        <f aca="false">M272-N272</f>
        <v>4549.732</v>
      </c>
      <c r="P272" s="18" t="n">
        <f aca="false">M272*IFERROR(INDEX(Calculations!$F$6:$F$11,MATCH(I272,Calculations!$E$6:$E$11,0)),0.1)</f>
        <v>1014.9732</v>
      </c>
      <c r="Q272" s="18" t="n">
        <f aca="false">O272-P272</f>
        <v>3534.7588</v>
      </c>
      <c r="R272" s="14" t="s">
        <v>124</v>
      </c>
      <c r="S272" s="14" t="s">
        <v>210</v>
      </c>
    </row>
    <row r="273" customFormat="false" ht="15" hidden="false" customHeight="false" outlineLevel="0" collapsed="false">
      <c r="A273" s="14" t="s">
        <v>737</v>
      </c>
      <c r="B273" s="15" t="n">
        <v>46045</v>
      </c>
      <c r="C273" s="14" t="s">
        <v>442</v>
      </c>
      <c r="D273" s="14" t="s">
        <v>443</v>
      </c>
      <c r="E273" s="14" t="s">
        <v>121</v>
      </c>
      <c r="F273" s="14" t="s">
        <v>122</v>
      </c>
      <c r="G273" s="14" t="s">
        <v>170</v>
      </c>
      <c r="H273" s="14" t="s">
        <v>65</v>
      </c>
      <c r="I273" s="14" t="str">
        <f aca="false">IFERROR(INDEX(Calculations!$B$6:$B$27,MATCH(H273,Calculations!$A$6:$A$27,0)),"Unknown")</f>
        <v>Computer Peripherals</v>
      </c>
      <c r="J273" s="14" t="n">
        <v>3</v>
      </c>
      <c r="K273" s="16" t="n">
        <v>3204.4</v>
      </c>
      <c r="L273" s="17" t="n">
        <v>0.05</v>
      </c>
      <c r="M273" s="18" t="n">
        <f aca="false">J273*K273*(1-L273)</f>
        <v>9132.54</v>
      </c>
      <c r="N273" s="18" t="n">
        <f aca="false">J273*IFERROR(INDEX(Calculations!$C$6:$C$27,MATCH(H273,Calculations!$A$6:$A$27,0)),0)</f>
        <v>4800</v>
      </c>
      <c r="O273" s="18" t="n">
        <f aca="false">M273-N273</f>
        <v>4332.54</v>
      </c>
      <c r="P273" s="18" t="n">
        <f aca="false">M273*IFERROR(INDEX(Calculations!$F$6:$F$11,MATCH(I273,Calculations!$E$6:$E$11,0)),0.1)</f>
        <v>730.6032</v>
      </c>
      <c r="Q273" s="18" t="n">
        <f aca="false">O273-P273</f>
        <v>3601.9368</v>
      </c>
      <c r="R273" s="14" t="s">
        <v>130</v>
      </c>
      <c r="S273" s="14" t="s">
        <v>125</v>
      </c>
    </row>
    <row r="274" customFormat="false" ht="15" hidden="false" customHeight="false" outlineLevel="0" collapsed="false">
      <c r="A274" s="14" t="s">
        <v>738</v>
      </c>
      <c r="B274" s="15" t="n">
        <v>46046</v>
      </c>
      <c r="C274" s="14" t="s">
        <v>404</v>
      </c>
      <c r="D274" s="14" t="s">
        <v>405</v>
      </c>
      <c r="E274" s="14" t="s">
        <v>156</v>
      </c>
      <c r="F274" s="14" t="s">
        <v>157</v>
      </c>
      <c r="G274" s="14" t="s">
        <v>175</v>
      </c>
      <c r="H274" s="14" t="s">
        <v>64</v>
      </c>
      <c r="I274" s="14" t="str">
        <f aca="false">IFERROR(INDEX(Calculations!$B$6:$B$27,MATCH(H274,Calculations!$A$6:$A$27,0)),"Unknown")</f>
        <v>Computer Peripherals</v>
      </c>
      <c r="J274" s="14" t="n">
        <v>2</v>
      </c>
      <c r="K274" s="16" t="n">
        <v>789.48</v>
      </c>
      <c r="L274" s="17" t="n">
        <v>0.1</v>
      </c>
      <c r="M274" s="18" t="n">
        <f aca="false">J274*K274*(1-L274)</f>
        <v>1421.064</v>
      </c>
      <c r="N274" s="18" t="n">
        <f aca="false">J274*IFERROR(INDEX(Calculations!$C$6:$C$27,MATCH(H274,Calculations!$A$6:$A$27,0)),0)</f>
        <v>700</v>
      </c>
      <c r="O274" s="18" t="n">
        <f aca="false">M274-N274</f>
        <v>721.064</v>
      </c>
      <c r="P274" s="18" t="n">
        <f aca="false">M274*IFERROR(INDEX(Calculations!$F$6:$F$11,MATCH(I274,Calculations!$E$6:$E$11,0)),0.1)</f>
        <v>113.68512</v>
      </c>
      <c r="Q274" s="18" t="n">
        <f aca="false">O274-P274</f>
        <v>607.37888</v>
      </c>
      <c r="R274" s="14" t="s">
        <v>135</v>
      </c>
      <c r="S274" s="14" t="s">
        <v>125</v>
      </c>
    </row>
    <row r="275" customFormat="false" ht="15" hidden="false" customHeight="false" outlineLevel="0" collapsed="false">
      <c r="A275" s="14" t="s">
        <v>739</v>
      </c>
      <c r="B275" s="15" t="n">
        <v>46048</v>
      </c>
      <c r="C275" s="14" t="s">
        <v>515</v>
      </c>
      <c r="D275" s="14" t="s">
        <v>516</v>
      </c>
      <c r="E275" s="14" t="s">
        <v>156</v>
      </c>
      <c r="F275" s="14" t="s">
        <v>157</v>
      </c>
      <c r="G275" s="14" t="s">
        <v>175</v>
      </c>
      <c r="H275" s="14" t="s">
        <v>70</v>
      </c>
      <c r="I275" s="14" t="str">
        <f aca="false">IFERROR(INDEX(Calculations!$B$6:$B$27,MATCH(H275,Calculations!$A$6:$A$27,0)),"Unknown")</f>
        <v>Smart Home</v>
      </c>
      <c r="J275" s="14" t="n">
        <v>2</v>
      </c>
      <c r="K275" s="16" t="n">
        <v>3965.87</v>
      </c>
      <c r="L275" s="17" t="n">
        <v>0.05</v>
      </c>
      <c r="M275" s="18" t="n">
        <f aca="false">J275*K275*(1-L275)</f>
        <v>7535.153</v>
      </c>
      <c r="N275" s="18" t="n">
        <f aca="false">J275*IFERROR(INDEX(Calculations!$C$6:$C$27,MATCH(H275,Calculations!$A$6:$A$27,0)),0)</f>
        <v>4400</v>
      </c>
      <c r="O275" s="18" t="n">
        <f aca="false">M275-N275</f>
        <v>3135.153</v>
      </c>
      <c r="P275" s="18" t="n">
        <f aca="false">M275*IFERROR(INDEX(Calculations!$F$6:$F$11,MATCH(I275,Calculations!$E$6:$E$11,0)),0.1)</f>
        <v>828.86683</v>
      </c>
      <c r="Q275" s="18" t="n">
        <f aca="false">O275-P275</f>
        <v>2306.28617</v>
      </c>
      <c r="R275" s="14" t="s">
        <v>124</v>
      </c>
      <c r="S275" s="14" t="s">
        <v>125</v>
      </c>
    </row>
    <row r="276" customFormat="false" ht="15" hidden="false" customHeight="false" outlineLevel="0" collapsed="false">
      <c r="A276" s="14" t="s">
        <v>740</v>
      </c>
      <c r="B276" s="15" t="n">
        <v>46048</v>
      </c>
      <c r="C276" s="14" t="s">
        <v>484</v>
      </c>
      <c r="D276" s="14" t="s">
        <v>485</v>
      </c>
      <c r="E276" s="14" t="s">
        <v>156</v>
      </c>
      <c r="F276" s="14" t="s">
        <v>169</v>
      </c>
      <c r="G276" s="14" t="s">
        <v>134</v>
      </c>
      <c r="H276" s="14" t="s">
        <v>65</v>
      </c>
      <c r="I276" s="14" t="str">
        <f aca="false">IFERROR(INDEX(Calculations!$B$6:$B$27,MATCH(H276,Calculations!$A$6:$A$27,0)),"Unknown")</f>
        <v>Computer Peripherals</v>
      </c>
      <c r="J276" s="14" t="n">
        <v>2</v>
      </c>
      <c r="K276" s="16" t="n">
        <v>3174.86</v>
      </c>
      <c r="L276" s="17" t="n">
        <v>0.1</v>
      </c>
      <c r="M276" s="18" t="n">
        <f aca="false">J276*K276*(1-L276)</f>
        <v>5714.748</v>
      </c>
      <c r="N276" s="18" t="n">
        <f aca="false">J276*IFERROR(INDEX(Calculations!$C$6:$C$27,MATCH(H276,Calculations!$A$6:$A$27,0)),0)</f>
        <v>3200</v>
      </c>
      <c r="O276" s="18" t="n">
        <f aca="false">M276-N276</f>
        <v>2514.748</v>
      </c>
      <c r="P276" s="18" t="n">
        <f aca="false">M276*IFERROR(INDEX(Calculations!$F$6:$F$11,MATCH(I276,Calculations!$E$6:$E$11,0)),0.1)</f>
        <v>457.17984</v>
      </c>
      <c r="Q276" s="18" t="n">
        <f aca="false">O276-P276</f>
        <v>2057.56816</v>
      </c>
      <c r="R276" s="14" t="s">
        <v>130</v>
      </c>
      <c r="S276" s="14" t="s">
        <v>125</v>
      </c>
    </row>
    <row r="277" customFormat="false" ht="15" hidden="false" customHeight="false" outlineLevel="0" collapsed="false">
      <c r="A277" s="14" t="s">
        <v>741</v>
      </c>
      <c r="B277" s="15" t="n">
        <v>46049</v>
      </c>
      <c r="C277" s="14" t="s">
        <v>177</v>
      </c>
      <c r="D277" s="14" t="s">
        <v>178</v>
      </c>
      <c r="E277" s="14" t="s">
        <v>121</v>
      </c>
      <c r="F277" s="14" t="s">
        <v>129</v>
      </c>
      <c r="G277" s="14" t="s">
        <v>209</v>
      </c>
      <c r="H277" s="14" t="s">
        <v>68</v>
      </c>
      <c r="I277" s="14" t="str">
        <f aca="false">IFERROR(INDEX(Calculations!$B$6:$B$27,MATCH(H277,Calculations!$A$6:$A$27,0)),"Unknown")</f>
        <v>Computer Peripherals</v>
      </c>
      <c r="J277" s="14" t="n">
        <v>2</v>
      </c>
      <c r="K277" s="16" t="n">
        <v>979.38</v>
      </c>
      <c r="L277" s="17" t="n">
        <v>0.1</v>
      </c>
      <c r="M277" s="18" t="n">
        <f aca="false">J277*K277*(1-L277)</f>
        <v>1762.884</v>
      </c>
      <c r="N277" s="18" t="n">
        <f aca="false">J277*IFERROR(INDEX(Calculations!$C$6:$C$27,MATCH(H277,Calculations!$A$6:$A$27,0)),0)</f>
        <v>1000</v>
      </c>
      <c r="O277" s="18" t="n">
        <f aca="false">M277-N277</f>
        <v>762.884</v>
      </c>
      <c r="P277" s="18" t="n">
        <f aca="false">M277*IFERROR(INDEX(Calculations!$F$6:$F$11,MATCH(I277,Calculations!$E$6:$E$11,0)),0.1)</f>
        <v>141.03072</v>
      </c>
      <c r="Q277" s="18" t="n">
        <f aca="false">O277-P277</f>
        <v>621.85328</v>
      </c>
      <c r="R277" s="14" t="s">
        <v>243</v>
      </c>
      <c r="S277" s="14" t="s">
        <v>125</v>
      </c>
    </row>
    <row r="278" customFormat="false" ht="15" hidden="false" customHeight="false" outlineLevel="0" collapsed="false">
      <c r="A278" s="14" t="s">
        <v>742</v>
      </c>
      <c r="B278" s="15" t="n">
        <v>46050</v>
      </c>
      <c r="C278" s="14" t="s">
        <v>163</v>
      </c>
      <c r="D278" s="14" t="s">
        <v>164</v>
      </c>
      <c r="E278" s="14" t="s">
        <v>121</v>
      </c>
      <c r="F278" s="14" t="s">
        <v>129</v>
      </c>
      <c r="G278" s="14" t="s">
        <v>141</v>
      </c>
      <c r="H278" s="14" t="s">
        <v>52</v>
      </c>
      <c r="I278" s="14" t="str">
        <f aca="false">IFERROR(INDEX(Calculations!$B$6:$B$27,MATCH(H278,Calculations!$A$6:$A$27,0)),"Unknown")</f>
        <v>Audio</v>
      </c>
      <c r="J278" s="14" t="n">
        <v>4</v>
      </c>
      <c r="K278" s="16" t="n">
        <v>1849.64</v>
      </c>
      <c r="L278" s="17" t="n">
        <v>0.1</v>
      </c>
      <c r="M278" s="18" t="n">
        <f aca="false">J278*K278*(1-L278)</f>
        <v>6658.704</v>
      </c>
      <c r="N278" s="18" t="n">
        <f aca="false">J278*IFERROR(INDEX(Calculations!$C$6:$C$27,MATCH(H278,Calculations!$A$6:$A$27,0)),0)</f>
        <v>3600</v>
      </c>
      <c r="O278" s="18" t="n">
        <f aca="false">M278-N278</f>
        <v>3058.704</v>
      </c>
      <c r="P278" s="18" t="n">
        <f aca="false">M278*IFERROR(INDEX(Calculations!$F$6:$F$11,MATCH(I278,Calculations!$E$6:$E$11,0)),0.1)</f>
        <v>665.8704</v>
      </c>
      <c r="Q278" s="18" t="n">
        <f aca="false">O278-P278</f>
        <v>2392.8336</v>
      </c>
      <c r="R278" s="14" t="s">
        <v>124</v>
      </c>
      <c r="S278" s="14" t="s">
        <v>125</v>
      </c>
    </row>
    <row r="279" customFormat="false" ht="15" hidden="false" customHeight="false" outlineLevel="0" collapsed="false">
      <c r="A279" s="14" t="s">
        <v>743</v>
      </c>
      <c r="B279" s="15" t="n">
        <v>46051</v>
      </c>
      <c r="C279" s="14" t="s">
        <v>427</v>
      </c>
      <c r="D279" s="14" t="s">
        <v>428</v>
      </c>
      <c r="E279" s="14" t="s">
        <v>194</v>
      </c>
      <c r="F279" s="14" t="s">
        <v>259</v>
      </c>
      <c r="G279" s="14" t="s">
        <v>161</v>
      </c>
      <c r="H279" s="14" t="s">
        <v>66</v>
      </c>
      <c r="I279" s="14" t="str">
        <f aca="false">IFERROR(INDEX(Calculations!$B$6:$B$27,MATCH(H279,Calculations!$A$6:$A$27,0)),"Unknown")</f>
        <v>Computer Peripherals</v>
      </c>
      <c r="J279" s="14" t="n">
        <v>2</v>
      </c>
      <c r="K279" s="16" t="n">
        <v>12867.86</v>
      </c>
      <c r="L279" s="17" t="n">
        <v>0</v>
      </c>
      <c r="M279" s="18" t="n">
        <f aca="false">J279*K279*(1-L279)</f>
        <v>25735.72</v>
      </c>
      <c r="N279" s="18" t="n">
        <f aca="false">J279*IFERROR(INDEX(Calculations!$C$6:$C$27,MATCH(H279,Calculations!$A$6:$A$27,0)),0)</f>
        <v>14400</v>
      </c>
      <c r="O279" s="18" t="n">
        <f aca="false">M279-N279</f>
        <v>11335.72</v>
      </c>
      <c r="P279" s="18" t="n">
        <f aca="false">M279*IFERROR(INDEX(Calculations!$F$6:$F$11,MATCH(I279,Calculations!$E$6:$E$11,0)),0.1)</f>
        <v>2058.8576</v>
      </c>
      <c r="Q279" s="18" t="n">
        <f aca="false">O279-P279</f>
        <v>9276.8624</v>
      </c>
      <c r="R279" s="14" t="s">
        <v>243</v>
      </c>
      <c r="S279" s="14" t="s">
        <v>125</v>
      </c>
    </row>
    <row r="280" customFormat="false" ht="15" hidden="false" customHeight="false" outlineLevel="0" collapsed="false">
      <c r="A280" s="14" t="s">
        <v>744</v>
      </c>
      <c r="B280" s="15" t="n">
        <v>46052</v>
      </c>
      <c r="C280" s="14" t="s">
        <v>416</v>
      </c>
      <c r="D280" s="14" t="s">
        <v>417</v>
      </c>
      <c r="E280" s="14" t="s">
        <v>121</v>
      </c>
      <c r="F280" s="14" t="s">
        <v>122</v>
      </c>
      <c r="G280" s="14" t="s">
        <v>175</v>
      </c>
      <c r="H280" s="14" t="s">
        <v>65</v>
      </c>
      <c r="I280" s="14" t="str">
        <f aca="false">IFERROR(INDEX(Calculations!$B$6:$B$27,MATCH(H280,Calculations!$A$6:$A$27,0)),"Unknown")</f>
        <v>Computer Peripherals</v>
      </c>
      <c r="J280" s="14" t="n">
        <v>4</v>
      </c>
      <c r="K280" s="16" t="n">
        <v>3155.99</v>
      </c>
      <c r="L280" s="17" t="n">
        <v>0</v>
      </c>
      <c r="M280" s="18" t="n">
        <f aca="false">J280*K280*(1-L280)</f>
        <v>12623.96</v>
      </c>
      <c r="N280" s="18" t="n">
        <f aca="false">J280*IFERROR(INDEX(Calculations!$C$6:$C$27,MATCH(H280,Calculations!$A$6:$A$27,0)),0)</f>
        <v>6400</v>
      </c>
      <c r="O280" s="18" t="n">
        <f aca="false">M280-N280</f>
        <v>6223.96</v>
      </c>
      <c r="P280" s="18" t="n">
        <f aca="false">M280*IFERROR(INDEX(Calculations!$F$6:$F$11,MATCH(I280,Calculations!$E$6:$E$11,0)),0.1)</f>
        <v>1009.9168</v>
      </c>
      <c r="Q280" s="18" t="n">
        <f aca="false">O280-P280</f>
        <v>5214.0432</v>
      </c>
      <c r="R280" s="14" t="s">
        <v>124</v>
      </c>
      <c r="S280" s="14" t="s">
        <v>205</v>
      </c>
    </row>
    <row r="281" customFormat="false" ht="15" hidden="false" customHeight="false" outlineLevel="0" collapsed="false">
      <c r="A281" s="14" t="s">
        <v>745</v>
      </c>
      <c r="B281" s="15" t="n">
        <v>46053</v>
      </c>
      <c r="C281" s="14" t="s">
        <v>746</v>
      </c>
      <c r="D281" s="14" t="s">
        <v>747</v>
      </c>
      <c r="E281" s="14" t="s">
        <v>156</v>
      </c>
      <c r="F281" s="14" t="s">
        <v>169</v>
      </c>
      <c r="G281" s="14" t="s">
        <v>161</v>
      </c>
      <c r="H281" s="14" t="s">
        <v>74</v>
      </c>
      <c r="I281" s="14" t="str">
        <f aca="false">IFERROR(INDEX(Calculations!$B$6:$B$27,MATCH(H281,Calculations!$A$6:$A$27,0)),"Unknown")</f>
        <v>Wearables</v>
      </c>
      <c r="J281" s="14" t="n">
        <v>6</v>
      </c>
      <c r="K281" s="16" t="n">
        <v>6392.54</v>
      </c>
      <c r="L281" s="17" t="n">
        <v>0.2</v>
      </c>
      <c r="M281" s="18" t="n">
        <f aca="false">J281*K281*(1-L281)</f>
        <v>30684.192</v>
      </c>
      <c r="N281" s="18" t="n">
        <f aca="false">J281*IFERROR(INDEX(Calculations!$C$6:$C$27,MATCH(H281,Calculations!$A$6:$A$27,0)),0)</f>
        <v>22800</v>
      </c>
      <c r="O281" s="18" t="n">
        <f aca="false">M281-N281</f>
        <v>7884.192</v>
      </c>
      <c r="P281" s="18" t="n">
        <f aca="false">M281*IFERROR(INDEX(Calculations!$F$6:$F$11,MATCH(I281,Calculations!$E$6:$E$11,0)),0.1)</f>
        <v>2761.57728</v>
      </c>
      <c r="Q281" s="18" t="n">
        <f aca="false">O281-P281</f>
        <v>5122.61472</v>
      </c>
      <c r="R281" s="14" t="s">
        <v>135</v>
      </c>
      <c r="S281" s="14" t="s">
        <v>125</v>
      </c>
    </row>
    <row r="282" customFormat="false" ht="15" hidden="false" customHeight="false" outlineLevel="0" collapsed="false">
      <c r="A282" s="14" t="s">
        <v>748</v>
      </c>
      <c r="B282" s="15" t="n">
        <v>46054</v>
      </c>
      <c r="C282" s="14" t="s">
        <v>749</v>
      </c>
      <c r="D282" s="14" t="s">
        <v>750</v>
      </c>
      <c r="E282" s="14" t="s">
        <v>194</v>
      </c>
      <c r="F282" s="14" t="s">
        <v>195</v>
      </c>
      <c r="G282" s="14" t="s">
        <v>147</v>
      </c>
      <c r="H282" s="14" t="s">
        <v>52</v>
      </c>
      <c r="I282" s="14" t="str">
        <f aca="false">IFERROR(INDEX(Calculations!$B$6:$B$27,MATCH(H282,Calculations!$A$6:$A$27,0)),"Unknown")</f>
        <v>Audio</v>
      </c>
      <c r="J282" s="14" t="n">
        <v>3</v>
      </c>
      <c r="K282" s="16" t="n">
        <v>1971.26</v>
      </c>
      <c r="L282" s="17" t="n">
        <v>0</v>
      </c>
      <c r="M282" s="18" t="n">
        <f aca="false">J282*K282*(1-L282)</f>
        <v>5913.78</v>
      </c>
      <c r="N282" s="18" t="n">
        <f aca="false">J282*IFERROR(INDEX(Calculations!$C$6:$C$27,MATCH(H282,Calculations!$A$6:$A$27,0)),0)</f>
        <v>2700</v>
      </c>
      <c r="O282" s="18" t="n">
        <f aca="false">M282-N282</f>
        <v>3213.78</v>
      </c>
      <c r="P282" s="18" t="n">
        <f aca="false">M282*IFERROR(INDEX(Calculations!$F$6:$F$11,MATCH(I282,Calculations!$E$6:$E$11,0)),0.1)</f>
        <v>591.378</v>
      </c>
      <c r="Q282" s="18" t="n">
        <f aca="false">O282-P282</f>
        <v>2622.402</v>
      </c>
      <c r="R282" s="14" t="s">
        <v>130</v>
      </c>
      <c r="S282" s="14" t="s">
        <v>125</v>
      </c>
    </row>
    <row r="283" customFormat="false" ht="15" hidden="false" customHeight="false" outlineLevel="0" collapsed="false">
      <c r="A283" s="14" t="s">
        <v>751</v>
      </c>
      <c r="B283" s="15" t="n">
        <v>46054</v>
      </c>
      <c r="C283" s="14" t="s">
        <v>404</v>
      </c>
      <c r="D283" s="14" t="s">
        <v>405</v>
      </c>
      <c r="E283" s="14" t="s">
        <v>156</v>
      </c>
      <c r="F283" s="14" t="s">
        <v>157</v>
      </c>
      <c r="G283" s="14" t="s">
        <v>123</v>
      </c>
      <c r="H283" s="14" t="s">
        <v>68</v>
      </c>
      <c r="I283" s="14" t="str">
        <f aca="false">IFERROR(INDEX(Calculations!$B$6:$B$27,MATCH(H283,Calculations!$A$6:$A$27,0)),"Unknown")</f>
        <v>Computer Peripherals</v>
      </c>
      <c r="J283" s="14" t="n">
        <v>1</v>
      </c>
      <c r="K283" s="16" t="n">
        <v>1038.76</v>
      </c>
      <c r="L283" s="17" t="n">
        <v>0.1</v>
      </c>
      <c r="M283" s="18" t="n">
        <f aca="false">J283*K283*(1-L283)</f>
        <v>934.884</v>
      </c>
      <c r="N283" s="18" t="n">
        <f aca="false">J283*IFERROR(INDEX(Calculations!$C$6:$C$27,MATCH(H283,Calculations!$A$6:$A$27,0)),0)</f>
        <v>500</v>
      </c>
      <c r="O283" s="18" t="n">
        <f aca="false">M283-N283</f>
        <v>434.884</v>
      </c>
      <c r="P283" s="18" t="n">
        <f aca="false">M283*IFERROR(INDEX(Calculations!$F$6:$F$11,MATCH(I283,Calculations!$E$6:$E$11,0)),0.1)</f>
        <v>74.79072</v>
      </c>
      <c r="Q283" s="18" t="n">
        <f aca="false">O283-P283</f>
        <v>360.09328</v>
      </c>
      <c r="R283" s="14" t="s">
        <v>130</v>
      </c>
      <c r="S283" s="14" t="s">
        <v>125</v>
      </c>
    </row>
    <row r="284" customFormat="false" ht="15" hidden="false" customHeight="false" outlineLevel="0" collapsed="false">
      <c r="A284" s="14" t="s">
        <v>752</v>
      </c>
      <c r="B284" s="15" t="n">
        <v>46057</v>
      </c>
      <c r="C284" s="14" t="s">
        <v>611</v>
      </c>
      <c r="D284" s="14" t="s">
        <v>612</v>
      </c>
      <c r="E284" s="14" t="s">
        <v>156</v>
      </c>
      <c r="F284" s="14" t="s">
        <v>169</v>
      </c>
      <c r="G284" s="14" t="s">
        <v>175</v>
      </c>
      <c r="H284" s="14" t="s">
        <v>68</v>
      </c>
      <c r="I284" s="14" t="str">
        <f aca="false">IFERROR(INDEX(Calculations!$B$6:$B$27,MATCH(H284,Calculations!$A$6:$A$27,0)),"Unknown")</f>
        <v>Computer Peripherals</v>
      </c>
      <c r="J284" s="14" t="n">
        <v>2</v>
      </c>
      <c r="K284" s="16" t="n">
        <v>1004.62</v>
      </c>
      <c r="L284" s="17" t="n">
        <v>0</v>
      </c>
      <c r="M284" s="18" t="n">
        <f aca="false">J284*K284*(1-L284)</f>
        <v>2009.24</v>
      </c>
      <c r="N284" s="18" t="n">
        <f aca="false">J284*IFERROR(INDEX(Calculations!$C$6:$C$27,MATCH(H284,Calculations!$A$6:$A$27,0)),0)</f>
        <v>1000</v>
      </c>
      <c r="O284" s="18" t="n">
        <f aca="false">M284-N284</f>
        <v>1009.24</v>
      </c>
      <c r="P284" s="18" t="n">
        <f aca="false">M284*IFERROR(INDEX(Calculations!$F$6:$F$11,MATCH(I284,Calculations!$E$6:$E$11,0)),0.1)</f>
        <v>160.7392</v>
      </c>
      <c r="Q284" s="18" t="n">
        <f aca="false">O284-P284</f>
        <v>848.5008</v>
      </c>
      <c r="R284" s="14" t="s">
        <v>124</v>
      </c>
      <c r="S284" s="14" t="s">
        <v>125</v>
      </c>
    </row>
    <row r="285" customFormat="false" ht="15" hidden="false" customHeight="false" outlineLevel="0" collapsed="false">
      <c r="A285" s="14" t="s">
        <v>753</v>
      </c>
      <c r="B285" s="15" t="n">
        <v>46057</v>
      </c>
      <c r="C285" s="14" t="s">
        <v>484</v>
      </c>
      <c r="D285" s="14" t="s">
        <v>485</v>
      </c>
      <c r="E285" s="14" t="s">
        <v>156</v>
      </c>
      <c r="F285" s="14" t="s">
        <v>169</v>
      </c>
      <c r="G285" s="14" t="s">
        <v>175</v>
      </c>
      <c r="H285" s="14" t="s">
        <v>56</v>
      </c>
      <c r="I285" s="14" t="str">
        <f aca="false">IFERROR(INDEX(Calculations!$B$6:$B$27,MATCH(H285,Calculations!$A$6:$A$27,0)),"Unknown")</f>
        <v>Audio</v>
      </c>
      <c r="J285" s="14" t="n">
        <v>2</v>
      </c>
      <c r="K285" s="16" t="n">
        <v>909.09</v>
      </c>
      <c r="L285" s="17" t="n">
        <v>0.1</v>
      </c>
      <c r="M285" s="18" t="n">
        <f aca="false">J285*K285*(1-L285)</f>
        <v>1636.362</v>
      </c>
      <c r="N285" s="18" t="n">
        <f aca="false">J285*IFERROR(INDEX(Calculations!$C$6:$C$27,MATCH(H285,Calculations!$A$6:$A$27,0)),0)</f>
        <v>900</v>
      </c>
      <c r="O285" s="18" t="n">
        <f aca="false">M285-N285</f>
        <v>736.362</v>
      </c>
      <c r="P285" s="18" t="n">
        <f aca="false">M285*IFERROR(INDEX(Calculations!$F$6:$F$11,MATCH(I285,Calculations!$E$6:$E$11,0)),0.1)</f>
        <v>163.6362</v>
      </c>
      <c r="Q285" s="18" t="n">
        <f aca="false">O285-P285</f>
        <v>572.7258</v>
      </c>
      <c r="R285" s="14" t="s">
        <v>135</v>
      </c>
      <c r="S285" s="14" t="s">
        <v>125</v>
      </c>
    </row>
    <row r="286" customFormat="false" ht="15" hidden="false" customHeight="false" outlineLevel="0" collapsed="false">
      <c r="A286" s="14" t="s">
        <v>754</v>
      </c>
      <c r="B286" s="15" t="n">
        <v>46060</v>
      </c>
      <c r="C286" s="14" t="s">
        <v>352</v>
      </c>
      <c r="D286" s="14" t="s">
        <v>353</v>
      </c>
      <c r="E286" s="14" t="s">
        <v>145</v>
      </c>
      <c r="F286" s="14" t="s">
        <v>174</v>
      </c>
      <c r="G286" s="14" t="s">
        <v>141</v>
      </c>
      <c r="H286" s="14" t="s">
        <v>54</v>
      </c>
      <c r="I286" s="14" t="str">
        <f aca="false">IFERROR(INDEX(Calculations!$B$6:$B$27,MATCH(H286,Calculations!$A$6:$A$27,0)),"Unknown")</f>
        <v>Audio</v>
      </c>
      <c r="J286" s="14" t="n">
        <v>1</v>
      </c>
      <c r="K286" s="16" t="n">
        <v>2776.78</v>
      </c>
      <c r="L286" s="17" t="n">
        <v>0.2</v>
      </c>
      <c r="M286" s="18" t="n">
        <f aca="false">J286*K286*(1-L286)</f>
        <v>2221.424</v>
      </c>
      <c r="N286" s="18" t="n">
        <f aca="false">J286*IFERROR(INDEX(Calculations!$C$6:$C$27,MATCH(H286,Calculations!$A$6:$A$27,0)),0)</f>
        <v>1400</v>
      </c>
      <c r="O286" s="18" t="n">
        <f aca="false">M286-N286</f>
        <v>821.424</v>
      </c>
      <c r="P286" s="18" t="n">
        <f aca="false">M286*IFERROR(INDEX(Calculations!$F$6:$F$11,MATCH(I286,Calculations!$E$6:$E$11,0)),0.1)</f>
        <v>222.1424</v>
      </c>
      <c r="Q286" s="18" t="n">
        <f aca="false">O286-P286</f>
        <v>599.2816</v>
      </c>
      <c r="R286" s="14" t="s">
        <v>130</v>
      </c>
      <c r="S286" s="14" t="s">
        <v>125</v>
      </c>
    </row>
    <row r="287" customFormat="false" ht="15" hidden="false" customHeight="false" outlineLevel="0" collapsed="false">
      <c r="A287" s="14" t="s">
        <v>755</v>
      </c>
      <c r="B287" s="15" t="n">
        <v>46061</v>
      </c>
      <c r="C287" s="14" t="s">
        <v>499</v>
      </c>
      <c r="D287" s="14" t="s">
        <v>500</v>
      </c>
      <c r="E287" s="14" t="s">
        <v>194</v>
      </c>
      <c r="F287" s="14" t="s">
        <v>195</v>
      </c>
      <c r="G287" s="14" t="s">
        <v>123</v>
      </c>
      <c r="H287" s="14" t="s">
        <v>67</v>
      </c>
      <c r="I287" s="14" t="str">
        <f aca="false">IFERROR(INDEX(Calculations!$B$6:$B$27,MATCH(H287,Calculations!$A$6:$A$27,0)),"Unknown")</f>
        <v>Computer Peripherals</v>
      </c>
      <c r="J287" s="14" t="n">
        <v>1</v>
      </c>
      <c r="K287" s="16" t="n">
        <v>1803.49</v>
      </c>
      <c r="L287" s="17" t="n">
        <v>0.05</v>
      </c>
      <c r="M287" s="18" t="n">
        <f aca="false">J287*K287*(1-L287)</f>
        <v>1713.3155</v>
      </c>
      <c r="N287" s="18" t="n">
        <f aca="false">J287*IFERROR(INDEX(Calculations!$C$6:$C$27,MATCH(H287,Calculations!$A$6:$A$27,0)),0)</f>
        <v>900</v>
      </c>
      <c r="O287" s="18" t="n">
        <f aca="false">M287-N287</f>
        <v>813.3155</v>
      </c>
      <c r="P287" s="18" t="n">
        <f aca="false">M287*IFERROR(INDEX(Calculations!$F$6:$F$11,MATCH(I287,Calculations!$E$6:$E$11,0)),0.1)</f>
        <v>137.06524</v>
      </c>
      <c r="Q287" s="18" t="n">
        <f aca="false">O287-P287</f>
        <v>676.25026</v>
      </c>
      <c r="R287" s="14" t="s">
        <v>165</v>
      </c>
      <c r="S287" s="14" t="s">
        <v>125</v>
      </c>
    </row>
    <row r="288" customFormat="false" ht="15" hidden="false" customHeight="false" outlineLevel="0" collapsed="false">
      <c r="A288" s="14" t="s">
        <v>756</v>
      </c>
      <c r="B288" s="15" t="n">
        <v>46061</v>
      </c>
      <c r="C288" s="14" t="s">
        <v>757</v>
      </c>
      <c r="D288" s="14" t="s">
        <v>758</v>
      </c>
      <c r="E288" s="14" t="s">
        <v>156</v>
      </c>
      <c r="F288" s="14" t="s">
        <v>157</v>
      </c>
      <c r="G288" s="14" t="s">
        <v>175</v>
      </c>
      <c r="H288" s="14" t="s">
        <v>76</v>
      </c>
      <c r="I288" s="14" t="str">
        <f aca="false">IFERROR(INDEX(Calculations!$B$6:$B$27,MATCH(H288,Calculations!$A$6:$A$27,0)),"Unknown")</f>
        <v>Cameras</v>
      </c>
      <c r="J288" s="14" t="n">
        <v>2</v>
      </c>
      <c r="K288" s="16" t="n">
        <v>7532.04</v>
      </c>
      <c r="L288" s="17" t="n">
        <v>0</v>
      </c>
      <c r="M288" s="18" t="n">
        <f aca="false">J288*K288*(1-L288)</f>
        <v>15064.08</v>
      </c>
      <c r="N288" s="18" t="n">
        <f aca="false">J288*IFERROR(INDEX(Calculations!$C$6:$C$27,MATCH(H288,Calculations!$A$6:$A$27,0)),0)</f>
        <v>8400</v>
      </c>
      <c r="O288" s="18" t="n">
        <f aca="false">M288-N288</f>
        <v>6664.08</v>
      </c>
      <c r="P288" s="18" t="n">
        <f aca="false">M288*IFERROR(INDEX(Calculations!$F$6:$F$11,MATCH(I288,Calculations!$E$6:$E$11,0)),0.1)</f>
        <v>1129.806</v>
      </c>
      <c r="Q288" s="18" t="n">
        <f aca="false">O288-P288</f>
        <v>5534.274</v>
      </c>
      <c r="R288" s="14" t="s">
        <v>130</v>
      </c>
      <c r="S288" s="14" t="s">
        <v>125</v>
      </c>
    </row>
    <row r="289" customFormat="false" ht="15" hidden="false" customHeight="false" outlineLevel="0" collapsed="false">
      <c r="A289" s="14" t="s">
        <v>759</v>
      </c>
      <c r="B289" s="15" t="n">
        <v>46061</v>
      </c>
      <c r="C289" s="14" t="s">
        <v>760</v>
      </c>
      <c r="D289" s="14" t="s">
        <v>761</v>
      </c>
      <c r="E289" s="14" t="s">
        <v>139</v>
      </c>
      <c r="F289" s="14" t="s">
        <v>152</v>
      </c>
      <c r="G289" s="14" t="s">
        <v>134</v>
      </c>
      <c r="H289" s="14" t="s">
        <v>76</v>
      </c>
      <c r="I289" s="14" t="str">
        <f aca="false">IFERROR(INDEX(Calculations!$B$6:$B$27,MATCH(H289,Calculations!$A$6:$A$27,0)),"Unknown")</f>
        <v>Cameras</v>
      </c>
      <c r="J289" s="14" t="n">
        <v>4</v>
      </c>
      <c r="K289" s="16" t="n">
        <v>7493.87</v>
      </c>
      <c r="L289" s="17" t="n">
        <v>0</v>
      </c>
      <c r="M289" s="18" t="n">
        <f aca="false">J289*K289*(1-L289)</f>
        <v>29975.48</v>
      </c>
      <c r="N289" s="18" t="n">
        <f aca="false">J289*IFERROR(INDEX(Calculations!$C$6:$C$27,MATCH(H289,Calculations!$A$6:$A$27,0)),0)</f>
        <v>16800</v>
      </c>
      <c r="O289" s="18" t="n">
        <f aca="false">M289-N289</f>
        <v>13175.48</v>
      </c>
      <c r="P289" s="18" t="n">
        <f aca="false">M289*IFERROR(INDEX(Calculations!$F$6:$F$11,MATCH(I289,Calculations!$E$6:$E$11,0)),0.1)</f>
        <v>2248.161</v>
      </c>
      <c r="Q289" s="18" t="n">
        <f aca="false">O289-P289</f>
        <v>10927.319</v>
      </c>
      <c r="R289" s="14" t="s">
        <v>130</v>
      </c>
      <c r="S289" s="14" t="s">
        <v>125</v>
      </c>
    </row>
    <row r="290" customFormat="false" ht="15" hidden="false" customHeight="false" outlineLevel="0" collapsed="false">
      <c r="A290" s="14" t="s">
        <v>762</v>
      </c>
      <c r="B290" s="15" t="n">
        <v>46062</v>
      </c>
      <c r="C290" s="14" t="s">
        <v>442</v>
      </c>
      <c r="D290" s="14" t="s">
        <v>443</v>
      </c>
      <c r="E290" s="14" t="s">
        <v>121</v>
      </c>
      <c r="F290" s="14" t="s">
        <v>122</v>
      </c>
      <c r="G290" s="14" t="s">
        <v>209</v>
      </c>
      <c r="H290" s="14" t="s">
        <v>73</v>
      </c>
      <c r="I290" s="14" t="str">
        <f aca="false">IFERROR(INDEX(Calculations!$B$6:$B$27,MATCH(H290,Calculations!$A$6:$A$27,0)),"Unknown")</f>
        <v>Wearables</v>
      </c>
      <c r="J290" s="14" t="n">
        <v>4</v>
      </c>
      <c r="K290" s="16" t="n">
        <v>2045.17</v>
      </c>
      <c r="L290" s="17" t="n">
        <v>0.05</v>
      </c>
      <c r="M290" s="18" t="n">
        <f aca="false">J290*K290*(1-L290)</f>
        <v>7771.646</v>
      </c>
      <c r="N290" s="18" t="n">
        <f aca="false">J290*IFERROR(INDEX(Calculations!$C$6:$C$27,MATCH(H290,Calculations!$A$6:$A$27,0)),0)</f>
        <v>4400</v>
      </c>
      <c r="O290" s="18" t="n">
        <f aca="false">M290-N290</f>
        <v>3371.646</v>
      </c>
      <c r="P290" s="18" t="n">
        <f aca="false">M290*IFERROR(INDEX(Calculations!$F$6:$F$11,MATCH(I290,Calculations!$E$6:$E$11,0)),0.1)</f>
        <v>699.44814</v>
      </c>
      <c r="Q290" s="18" t="n">
        <f aca="false">O290-P290</f>
        <v>2672.19786</v>
      </c>
      <c r="R290" s="14" t="s">
        <v>165</v>
      </c>
      <c r="S290" s="14" t="s">
        <v>125</v>
      </c>
    </row>
    <row r="291" customFormat="false" ht="15" hidden="false" customHeight="false" outlineLevel="0" collapsed="false">
      <c r="A291" s="14" t="s">
        <v>763</v>
      </c>
      <c r="B291" s="15" t="n">
        <v>46065</v>
      </c>
      <c r="C291" s="14" t="s">
        <v>764</v>
      </c>
      <c r="D291" s="14" t="s">
        <v>765</v>
      </c>
      <c r="E291" s="14" t="s">
        <v>139</v>
      </c>
      <c r="F291" s="14" t="s">
        <v>152</v>
      </c>
      <c r="G291" s="14" t="s">
        <v>147</v>
      </c>
      <c r="H291" s="14" t="s">
        <v>75</v>
      </c>
      <c r="I291" s="14" t="str">
        <f aca="false">IFERROR(INDEX(Calculations!$B$6:$B$27,MATCH(H291,Calculations!$A$6:$A$27,0)),"Unknown")</f>
        <v>Wearables</v>
      </c>
      <c r="J291" s="14" t="n">
        <v>2</v>
      </c>
      <c r="K291" s="16" t="n">
        <v>3320.95</v>
      </c>
      <c r="L291" s="17" t="n">
        <v>0</v>
      </c>
      <c r="M291" s="18" t="n">
        <f aca="false">J291*K291*(1-L291)</f>
        <v>6641.9</v>
      </c>
      <c r="N291" s="18" t="n">
        <f aca="false">J291*IFERROR(INDEX(Calculations!$C$6:$C$27,MATCH(H291,Calculations!$A$6:$A$27,0)),0)</f>
        <v>3800</v>
      </c>
      <c r="O291" s="18" t="n">
        <f aca="false">M291-N291</f>
        <v>2841.9</v>
      </c>
      <c r="P291" s="18" t="n">
        <f aca="false">M291*IFERROR(INDEX(Calculations!$F$6:$F$11,MATCH(I291,Calculations!$E$6:$E$11,0)),0.1)</f>
        <v>597.771</v>
      </c>
      <c r="Q291" s="18" t="n">
        <f aca="false">O291-P291</f>
        <v>2244.129</v>
      </c>
      <c r="R291" s="14" t="s">
        <v>135</v>
      </c>
      <c r="S291" s="14" t="s">
        <v>125</v>
      </c>
    </row>
    <row r="292" customFormat="false" ht="15" hidden="false" customHeight="false" outlineLevel="0" collapsed="false">
      <c r="A292" s="14" t="s">
        <v>766</v>
      </c>
      <c r="B292" s="15" t="n">
        <v>46065</v>
      </c>
      <c r="C292" s="14" t="s">
        <v>767</v>
      </c>
      <c r="D292" s="14" t="s">
        <v>768</v>
      </c>
      <c r="E292" s="14" t="s">
        <v>145</v>
      </c>
      <c r="F292" s="14" t="s">
        <v>174</v>
      </c>
      <c r="G292" s="14" t="s">
        <v>170</v>
      </c>
      <c r="H292" s="14" t="s">
        <v>67</v>
      </c>
      <c r="I292" s="14" t="str">
        <f aca="false">IFERROR(INDEX(Calculations!$B$6:$B$27,MATCH(H292,Calculations!$A$6:$A$27,0)),"Unknown")</f>
        <v>Computer Peripherals</v>
      </c>
      <c r="J292" s="14" t="n">
        <v>4</v>
      </c>
      <c r="K292" s="16" t="n">
        <v>1857.54</v>
      </c>
      <c r="L292" s="17" t="n">
        <v>0.05</v>
      </c>
      <c r="M292" s="18" t="n">
        <f aca="false">J292*K292*(1-L292)</f>
        <v>7058.652</v>
      </c>
      <c r="N292" s="18" t="n">
        <f aca="false">J292*IFERROR(INDEX(Calculations!$C$6:$C$27,MATCH(H292,Calculations!$A$6:$A$27,0)),0)</f>
        <v>3600</v>
      </c>
      <c r="O292" s="18" t="n">
        <f aca="false">M292-N292</f>
        <v>3458.652</v>
      </c>
      <c r="P292" s="18" t="n">
        <f aca="false">M292*IFERROR(INDEX(Calculations!$F$6:$F$11,MATCH(I292,Calculations!$E$6:$E$11,0)),0.1)</f>
        <v>564.69216</v>
      </c>
      <c r="Q292" s="18" t="n">
        <f aca="false">O292-P292</f>
        <v>2893.95984</v>
      </c>
      <c r="R292" s="14" t="s">
        <v>135</v>
      </c>
      <c r="S292" s="14" t="s">
        <v>125</v>
      </c>
    </row>
    <row r="293" customFormat="false" ht="15" hidden="false" customHeight="false" outlineLevel="0" collapsed="false">
      <c r="A293" s="14" t="s">
        <v>769</v>
      </c>
      <c r="B293" s="15" t="n">
        <v>46065</v>
      </c>
      <c r="C293" s="14" t="s">
        <v>413</v>
      </c>
      <c r="D293" s="14" t="s">
        <v>414</v>
      </c>
      <c r="E293" s="14" t="s">
        <v>121</v>
      </c>
      <c r="F293" s="14" t="s">
        <v>122</v>
      </c>
      <c r="G293" s="14" t="s">
        <v>161</v>
      </c>
      <c r="H293" s="14" t="s">
        <v>54</v>
      </c>
      <c r="I293" s="14" t="str">
        <f aca="false">IFERROR(INDEX(Calculations!$B$6:$B$27,MATCH(H293,Calculations!$A$6:$A$27,0)),"Unknown")</f>
        <v>Audio</v>
      </c>
      <c r="J293" s="14" t="n">
        <v>2</v>
      </c>
      <c r="K293" s="16" t="n">
        <v>2901.24</v>
      </c>
      <c r="L293" s="17" t="n">
        <v>0.15</v>
      </c>
      <c r="M293" s="18" t="n">
        <f aca="false">J293*K293*(1-L293)</f>
        <v>4932.108</v>
      </c>
      <c r="N293" s="18" t="n">
        <f aca="false">J293*IFERROR(INDEX(Calculations!$C$6:$C$27,MATCH(H293,Calculations!$A$6:$A$27,0)),0)</f>
        <v>2800</v>
      </c>
      <c r="O293" s="18" t="n">
        <f aca="false">M293-N293</f>
        <v>2132.108</v>
      </c>
      <c r="P293" s="18" t="n">
        <f aca="false">M293*IFERROR(INDEX(Calculations!$F$6:$F$11,MATCH(I293,Calculations!$E$6:$E$11,0)),0.1)</f>
        <v>493.2108</v>
      </c>
      <c r="Q293" s="18" t="n">
        <f aca="false">O293-P293</f>
        <v>1638.8972</v>
      </c>
      <c r="R293" s="14" t="s">
        <v>135</v>
      </c>
      <c r="S293" s="14" t="s">
        <v>205</v>
      </c>
    </row>
    <row r="294" customFormat="false" ht="15" hidden="false" customHeight="false" outlineLevel="0" collapsed="false">
      <c r="A294" s="14" t="s">
        <v>770</v>
      </c>
      <c r="B294" s="15" t="n">
        <v>46066</v>
      </c>
      <c r="C294" s="14" t="s">
        <v>771</v>
      </c>
      <c r="D294" s="14" t="s">
        <v>772</v>
      </c>
      <c r="E294" s="14" t="s">
        <v>194</v>
      </c>
      <c r="F294" s="14" t="s">
        <v>195</v>
      </c>
      <c r="G294" s="14" t="s">
        <v>209</v>
      </c>
      <c r="H294" s="14" t="s">
        <v>63</v>
      </c>
      <c r="I294" s="14" t="str">
        <f aca="false">IFERROR(INDEX(Calculations!$B$6:$B$27,MATCH(H294,Calculations!$A$6:$A$27,0)),"Unknown")</f>
        <v>Mobile Accessories</v>
      </c>
      <c r="J294" s="14" t="n">
        <v>3</v>
      </c>
      <c r="K294" s="16" t="n">
        <v>337.9</v>
      </c>
      <c r="L294" s="17" t="n">
        <v>0.05</v>
      </c>
      <c r="M294" s="18" t="n">
        <f aca="false">J294*K294*(1-L294)</f>
        <v>963.015</v>
      </c>
      <c r="N294" s="18" t="n">
        <f aca="false">J294*IFERROR(INDEX(Calculations!$C$6:$C$27,MATCH(H294,Calculations!$A$6:$A$27,0)),0)</f>
        <v>450</v>
      </c>
      <c r="O294" s="18" t="n">
        <f aca="false">M294-N294</f>
        <v>513.015</v>
      </c>
      <c r="P294" s="18" t="n">
        <f aca="false">M294*IFERROR(INDEX(Calculations!$F$6:$F$11,MATCH(I294,Calculations!$E$6:$E$11,0)),0.1)</f>
        <v>115.5618</v>
      </c>
      <c r="Q294" s="18" t="n">
        <f aca="false">O294-P294</f>
        <v>397.4532</v>
      </c>
      <c r="R294" s="14" t="s">
        <v>243</v>
      </c>
      <c r="S294" s="14" t="s">
        <v>125</v>
      </c>
    </row>
    <row r="295" customFormat="false" ht="15" hidden="false" customHeight="false" outlineLevel="0" collapsed="false">
      <c r="A295" s="14" t="s">
        <v>773</v>
      </c>
      <c r="B295" s="15" t="n">
        <v>46066</v>
      </c>
      <c r="C295" s="14" t="s">
        <v>774</v>
      </c>
      <c r="D295" s="14" t="s">
        <v>775</v>
      </c>
      <c r="E295" s="14" t="s">
        <v>145</v>
      </c>
      <c r="F295" s="14" t="s">
        <v>174</v>
      </c>
      <c r="G295" s="14" t="s">
        <v>141</v>
      </c>
      <c r="H295" s="14" t="s">
        <v>74</v>
      </c>
      <c r="I295" s="14" t="str">
        <f aca="false">IFERROR(INDEX(Calculations!$B$6:$B$27,MATCH(H295,Calculations!$A$6:$A$27,0)),"Unknown")</f>
        <v>Wearables</v>
      </c>
      <c r="J295" s="14" t="n">
        <v>5</v>
      </c>
      <c r="K295" s="16" t="n">
        <v>6402.56</v>
      </c>
      <c r="L295" s="17" t="n">
        <v>0</v>
      </c>
      <c r="M295" s="18" t="n">
        <f aca="false">J295*K295*(1-L295)</f>
        <v>32012.8</v>
      </c>
      <c r="N295" s="18" t="n">
        <f aca="false">J295*IFERROR(INDEX(Calculations!$C$6:$C$27,MATCH(H295,Calculations!$A$6:$A$27,0)),0)</f>
        <v>19000</v>
      </c>
      <c r="O295" s="18" t="n">
        <f aca="false">M295-N295</f>
        <v>13012.8</v>
      </c>
      <c r="P295" s="18" t="n">
        <f aca="false">M295*IFERROR(INDEX(Calculations!$F$6:$F$11,MATCH(I295,Calculations!$E$6:$E$11,0)),0.1)</f>
        <v>2881.152</v>
      </c>
      <c r="Q295" s="18" t="n">
        <f aca="false">O295-P295</f>
        <v>10131.648</v>
      </c>
      <c r="R295" s="14" t="s">
        <v>130</v>
      </c>
      <c r="S295" s="14" t="s">
        <v>125</v>
      </c>
    </row>
    <row r="296" customFormat="false" ht="15" hidden="false" customHeight="false" outlineLevel="0" collapsed="false">
      <c r="A296" s="14" t="s">
        <v>776</v>
      </c>
      <c r="B296" s="15" t="n">
        <v>46066</v>
      </c>
      <c r="C296" s="14" t="s">
        <v>520</v>
      </c>
      <c r="D296" s="14" t="s">
        <v>521</v>
      </c>
      <c r="E296" s="14" t="s">
        <v>139</v>
      </c>
      <c r="F296" s="14" t="s">
        <v>152</v>
      </c>
      <c r="G296" s="14" t="s">
        <v>134</v>
      </c>
      <c r="H296" s="14" t="s">
        <v>67</v>
      </c>
      <c r="I296" s="14" t="str">
        <f aca="false">IFERROR(INDEX(Calculations!$B$6:$B$27,MATCH(H296,Calculations!$A$6:$A$27,0)),"Unknown")</f>
        <v>Computer Peripherals</v>
      </c>
      <c r="J296" s="14" t="n">
        <v>1</v>
      </c>
      <c r="K296" s="16" t="n">
        <v>1865.25</v>
      </c>
      <c r="L296" s="17" t="n">
        <v>0</v>
      </c>
      <c r="M296" s="18" t="n">
        <f aca="false">J296*K296*(1-L296)</f>
        <v>1865.25</v>
      </c>
      <c r="N296" s="18" t="n">
        <f aca="false">J296*IFERROR(INDEX(Calculations!$C$6:$C$27,MATCH(H296,Calculations!$A$6:$A$27,0)),0)</f>
        <v>900</v>
      </c>
      <c r="O296" s="18" t="n">
        <f aca="false">M296-N296</f>
        <v>965.25</v>
      </c>
      <c r="P296" s="18" t="n">
        <f aca="false">M296*IFERROR(INDEX(Calculations!$F$6:$F$11,MATCH(I296,Calculations!$E$6:$E$11,0)),0.1)</f>
        <v>149.22</v>
      </c>
      <c r="Q296" s="18" t="n">
        <f aca="false">O296-P296</f>
        <v>816.03</v>
      </c>
      <c r="R296" s="14" t="s">
        <v>165</v>
      </c>
      <c r="S296" s="14" t="s">
        <v>125</v>
      </c>
    </row>
    <row r="297" customFormat="false" ht="15" hidden="false" customHeight="false" outlineLevel="0" collapsed="false">
      <c r="A297" s="14" t="s">
        <v>777</v>
      </c>
      <c r="B297" s="15" t="n">
        <v>46066</v>
      </c>
      <c r="C297" s="14" t="s">
        <v>778</v>
      </c>
      <c r="D297" s="14" t="s">
        <v>779</v>
      </c>
      <c r="E297" s="14" t="s">
        <v>194</v>
      </c>
      <c r="F297" s="14" t="s">
        <v>195</v>
      </c>
      <c r="G297" s="14" t="s">
        <v>161</v>
      </c>
      <c r="H297" s="14" t="s">
        <v>56</v>
      </c>
      <c r="I297" s="14" t="str">
        <f aca="false">IFERROR(INDEX(Calculations!$B$6:$B$27,MATCH(H297,Calculations!$A$6:$A$27,0)),"Unknown")</f>
        <v>Audio</v>
      </c>
      <c r="J297" s="14" t="n">
        <v>1</v>
      </c>
      <c r="K297" s="16" t="n">
        <v>922.29</v>
      </c>
      <c r="L297" s="17" t="n">
        <v>0</v>
      </c>
      <c r="M297" s="18" t="n">
        <f aca="false">J297*K297*(1-L297)</f>
        <v>922.29</v>
      </c>
      <c r="N297" s="18" t="n">
        <f aca="false">J297*IFERROR(INDEX(Calculations!$C$6:$C$27,MATCH(H297,Calculations!$A$6:$A$27,0)),0)</f>
        <v>450</v>
      </c>
      <c r="O297" s="18" t="n">
        <f aca="false">M297-N297</f>
        <v>472.29</v>
      </c>
      <c r="P297" s="18" t="n">
        <f aca="false">M297*IFERROR(INDEX(Calculations!$F$6:$F$11,MATCH(I297,Calculations!$E$6:$E$11,0)),0.1)</f>
        <v>92.229</v>
      </c>
      <c r="Q297" s="18" t="n">
        <f aca="false">O297-P297</f>
        <v>380.061</v>
      </c>
      <c r="R297" s="14" t="s">
        <v>130</v>
      </c>
      <c r="S297" s="14" t="s">
        <v>125</v>
      </c>
    </row>
    <row r="298" customFormat="false" ht="15" hidden="false" customHeight="false" outlineLevel="0" collapsed="false">
      <c r="A298" s="14" t="s">
        <v>780</v>
      </c>
      <c r="B298" s="15" t="n">
        <v>46067</v>
      </c>
      <c r="C298" s="14" t="s">
        <v>781</v>
      </c>
      <c r="D298" s="14" t="s">
        <v>782</v>
      </c>
      <c r="E298" s="14" t="s">
        <v>194</v>
      </c>
      <c r="F298" s="14" t="s">
        <v>195</v>
      </c>
      <c r="G298" s="14" t="s">
        <v>141</v>
      </c>
      <c r="H298" s="14" t="s">
        <v>70</v>
      </c>
      <c r="I298" s="14" t="str">
        <f aca="false">IFERROR(INDEX(Calculations!$B$6:$B$27,MATCH(H298,Calculations!$A$6:$A$27,0)),"Unknown")</f>
        <v>Smart Home</v>
      </c>
      <c r="J298" s="14" t="n">
        <v>6</v>
      </c>
      <c r="K298" s="16" t="n">
        <v>3997.79</v>
      </c>
      <c r="L298" s="17" t="n">
        <v>0.05</v>
      </c>
      <c r="M298" s="18" t="n">
        <f aca="false">J298*K298*(1-L298)</f>
        <v>22787.403</v>
      </c>
      <c r="N298" s="18" t="n">
        <f aca="false">J298*IFERROR(INDEX(Calculations!$C$6:$C$27,MATCH(H298,Calculations!$A$6:$A$27,0)),0)</f>
        <v>13200</v>
      </c>
      <c r="O298" s="18" t="n">
        <f aca="false">M298-N298</f>
        <v>9587.403</v>
      </c>
      <c r="P298" s="18" t="n">
        <f aca="false">M298*IFERROR(INDEX(Calculations!$F$6:$F$11,MATCH(I298,Calculations!$E$6:$E$11,0)),0.1)</f>
        <v>2506.61433</v>
      </c>
      <c r="Q298" s="18" t="n">
        <f aca="false">O298-P298</f>
        <v>7080.78867</v>
      </c>
      <c r="R298" s="14" t="s">
        <v>243</v>
      </c>
      <c r="S298" s="14" t="s">
        <v>125</v>
      </c>
    </row>
    <row r="299" customFormat="false" ht="15" hidden="false" customHeight="false" outlineLevel="0" collapsed="false">
      <c r="A299" s="14" t="s">
        <v>783</v>
      </c>
      <c r="B299" s="15" t="n">
        <v>46067</v>
      </c>
      <c r="C299" s="14" t="s">
        <v>784</v>
      </c>
      <c r="D299" s="14" t="s">
        <v>785</v>
      </c>
      <c r="E299" s="14" t="s">
        <v>121</v>
      </c>
      <c r="F299" s="14" t="s">
        <v>122</v>
      </c>
      <c r="G299" s="14" t="s">
        <v>147</v>
      </c>
      <c r="H299" s="14" t="s">
        <v>76</v>
      </c>
      <c r="I299" s="14" t="str">
        <f aca="false">IFERROR(INDEX(Calculations!$B$6:$B$27,MATCH(H299,Calculations!$A$6:$A$27,0)),"Unknown")</f>
        <v>Cameras</v>
      </c>
      <c r="J299" s="14" t="n">
        <v>6</v>
      </c>
      <c r="K299" s="16" t="n">
        <v>7504.12</v>
      </c>
      <c r="L299" s="17" t="n">
        <v>0.1</v>
      </c>
      <c r="M299" s="18" t="n">
        <f aca="false">J299*K299*(1-L299)</f>
        <v>40522.248</v>
      </c>
      <c r="N299" s="18" t="n">
        <f aca="false">J299*IFERROR(INDEX(Calculations!$C$6:$C$27,MATCH(H299,Calculations!$A$6:$A$27,0)),0)</f>
        <v>25200</v>
      </c>
      <c r="O299" s="18" t="n">
        <f aca="false">M299-N299</f>
        <v>15322.248</v>
      </c>
      <c r="P299" s="18" t="n">
        <f aca="false">M299*IFERROR(INDEX(Calculations!$F$6:$F$11,MATCH(I299,Calculations!$E$6:$E$11,0)),0.1)</f>
        <v>3039.1686</v>
      </c>
      <c r="Q299" s="18" t="n">
        <f aca="false">O299-P299</f>
        <v>12283.0794</v>
      </c>
      <c r="R299" s="14" t="s">
        <v>243</v>
      </c>
      <c r="S299" s="14" t="s">
        <v>125</v>
      </c>
    </row>
    <row r="300" customFormat="false" ht="15" hidden="false" customHeight="false" outlineLevel="0" collapsed="false">
      <c r="A300" s="14" t="s">
        <v>786</v>
      </c>
      <c r="B300" s="15" t="n">
        <v>46068</v>
      </c>
      <c r="C300" s="14" t="s">
        <v>787</v>
      </c>
      <c r="D300" s="14" t="s">
        <v>788</v>
      </c>
      <c r="E300" s="14" t="s">
        <v>145</v>
      </c>
      <c r="F300" s="14" t="s">
        <v>146</v>
      </c>
      <c r="G300" s="14" t="s">
        <v>123</v>
      </c>
      <c r="H300" s="14" t="s">
        <v>72</v>
      </c>
      <c r="I300" s="14" t="str">
        <f aca="false">IFERROR(INDEX(Calculations!$B$6:$B$27,MATCH(H300,Calculations!$A$6:$A$27,0)),"Unknown")</f>
        <v>Smart Home</v>
      </c>
      <c r="J300" s="14" t="n">
        <v>2</v>
      </c>
      <c r="K300" s="16" t="n">
        <v>4525.92</v>
      </c>
      <c r="L300" s="17" t="n">
        <v>0.05</v>
      </c>
      <c r="M300" s="18" t="n">
        <f aca="false">J300*K300*(1-L300)</f>
        <v>8599.248</v>
      </c>
      <c r="N300" s="18" t="n">
        <f aca="false">J300*IFERROR(INDEX(Calculations!$C$6:$C$27,MATCH(H300,Calculations!$A$6:$A$27,0)),0)</f>
        <v>5200</v>
      </c>
      <c r="O300" s="18" t="n">
        <f aca="false">M300-N300</f>
        <v>3399.248</v>
      </c>
      <c r="P300" s="18" t="n">
        <f aca="false">M300*IFERROR(INDEX(Calculations!$F$6:$F$11,MATCH(I300,Calculations!$E$6:$E$11,0)),0.1)</f>
        <v>945.91728</v>
      </c>
      <c r="Q300" s="18" t="n">
        <f aca="false">O300-P300</f>
        <v>2453.33072</v>
      </c>
      <c r="R300" s="14" t="s">
        <v>124</v>
      </c>
      <c r="S300" s="14" t="s">
        <v>125</v>
      </c>
    </row>
    <row r="301" customFormat="false" ht="15" hidden="false" customHeight="false" outlineLevel="0" collapsed="false">
      <c r="A301" s="14" t="s">
        <v>789</v>
      </c>
      <c r="B301" s="15" t="n">
        <v>46068</v>
      </c>
      <c r="C301" s="14" t="s">
        <v>614</v>
      </c>
      <c r="D301" s="14" t="s">
        <v>615</v>
      </c>
      <c r="E301" s="14" t="s">
        <v>194</v>
      </c>
      <c r="F301" s="14" t="s">
        <v>195</v>
      </c>
      <c r="G301" s="14" t="s">
        <v>123</v>
      </c>
      <c r="H301" s="14" t="s">
        <v>58</v>
      </c>
      <c r="I301" s="14" t="str">
        <f aca="false">IFERROR(INDEX(Calculations!$B$6:$B$27,MATCH(H301,Calculations!$A$6:$A$27,0)),"Unknown")</f>
        <v>Mobile Accessories</v>
      </c>
      <c r="J301" s="14" t="n">
        <v>2</v>
      </c>
      <c r="K301" s="16" t="n">
        <v>506.3</v>
      </c>
      <c r="L301" s="17" t="n">
        <v>0.1</v>
      </c>
      <c r="M301" s="18" t="n">
        <f aca="false">J301*K301*(1-L301)</f>
        <v>911.34</v>
      </c>
      <c r="N301" s="18" t="n">
        <f aca="false">J301*IFERROR(INDEX(Calculations!$C$6:$C$27,MATCH(H301,Calculations!$A$6:$A$27,0)),0)</f>
        <v>440</v>
      </c>
      <c r="O301" s="18" t="n">
        <f aca="false">M301-N301</f>
        <v>471.34</v>
      </c>
      <c r="P301" s="18" t="n">
        <f aca="false">M301*IFERROR(INDEX(Calculations!$F$6:$F$11,MATCH(I301,Calculations!$E$6:$E$11,0)),0.1)</f>
        <v>109.3608</v>
      </c>
      <c r="Q301" s="18" t="n">
        <f aca="false">O301-P301</f>
        <v>361.9792</v>
      </c>
      <c r="R301" s="14" t="s">
        <v>243</v>
      </c>
      <c r="S301" s="14" t="s">
        <v>125</v>
      </c>
    </row>
    <row r="302" customFormat="false" ht="15" hidden="false" customHeight="false" outlineLevel="0" collapsed="false">
      <c r="A302" s="14" t="s">
        <v>790</v>
      </c>
      <c r="B302" s="15" t="n">
        <v>46068</v>
      </c>
      <c r="C302" s="14" t="s">
        <v>791</v>
      </c>
      <c r="D302" s="14" t="s">
        <v>792</v>
      </c>
      <c r="E302" s="14" t="s">
        <v>194</v>
      </c>
      <c r="F302" s="14" t="s">
        <v>195</v>
      </c>
      <c r="G302" s="14" t="s">
        <v>161</v>
      </c>
      <c r="H302" s="14" t="s">
        <v>66</v>
      </c>
      <c r="I302" s="14" t="str">
        <f aca="false">IFERROR(INDEX(Calculations!$B$6:$B$27,MATCH(H302,Calculations!$A$6:$A$27,0)),"Unknown")</f>
        <v>Computer Peripherals</v>
      </c>
      <c r="J302" s="14" t="n">
        <v>1</v>
      </c>
      <c r="K302" s="16" t="n">
        <v>12810.65</v>
      </c>
      <c r="L302" s="17" t="n">
        <v>0</v>
      </c>
      <c r="M302" s="18" t="n">
        <f aca="false">J302*K302*(1-L302)</f>
        <v>12810.65</v>
      </c>
      <c r="N302" s="18" t="n">
        <f aca="false">J302*IFERROR(INDEX(Calculations!$C$6:$C$27,MATCH(H302,Calculations!$A$6:$A$27,0)),0)</f>
        <v>7200</v>
      </c>
      <c r="O302" s="18" t="n">
        <f aca="false">M302-N302</f>
        <v>5610.65</v>
      </c>
      <c r="P302" s="18" t="n">
        <f aca="false">M302*IFERROR(INDEX(Calculations!$F$6:$F$11,MATCH(I302,Calculations!$E$6:$E$11,0)),0.1)</f>
        <v>1024.852</v>
      </c>
      <c r="Q302" s="18" t="n">
        <f aca="false">O302-P302</f>
        <v>4585.798</v>
      </c>
      <c r="R302" s="14" t="s">
        <v>243</v>
      </c>
      <c r="S302" s="14" t="s">
        <v>125</v>
      </c>
    </row>
    <row r="303" customFormat="false" ht="15" hidden="false" customHeight="false" outlineLevel="0" collapsed="false">
      <c r="A303" s="14" t="s">
        <v>793</v>
      </c>
      <c r="B303" s="15" t="n">
        <v>46068</v>
      </c>
      <c r="C303" s="14" t="s">
        <v>767</v>
      </c>
      <c r="D303" s="14" t="s">
        <v>768</v>
      </c>
      <c r="E303" s="14" t="s">
        <v>145</v>
      </c>
      <c r="F303" s="14" t="s">
        <v>174</v>
      </c>
      <c r="G303" s="14" t="s">
        <v>175</v>
      </c>
      <c r="H303" s="14" t="s">
        <v>68</v>
      </c>
      <c r="I303" s="14" t="str">
        <f aca="false">IFERROR(INDEX(Calculations!$B$6:$B$27,MATCH(H303,Calculations!$A$6:$A$27,0)),"Unknown")</f>
        <v>Computer Peripherals</v>
      </c>
      <c r="J303" s="14" t="n">
        <v>2</v>
      </c>
      <c r="K303" s="16" t="n">
        <v>1038.54</v>
      </c>
      <c r="L303" s="17" t="n">
        <v>0.15</v>
      </c>
      <c r="M303" s="18" t="n">
        <f aca="false">J303*K303*(1-L303)</f>
        <v>1765.518</v>
      </c>
      <c r="N303" s="18" t="n">
        <f aca="false">J303*IFERROR(INDEX(Calculations!$C$6:$C$27,MATCH(H303,Calculations!$A$6:$A$27,0)),0)</f>
        <v>1000</v>
      </c>
      <c r="O303" s="18" t="n">
        <f aca="false">M303-N303</f>
        <v>765.518</v>
      </c>
      <c r="P303" s="18" t="n">
        <f aca="false">M303*IFERROR(INDEX(Calculations!$F$6:$F$11,MATCH(I303,Calculations!$E$6:$E$11,0)),0.1)</f>
        <v>141.24144</v>
      </c>
      <c r="Q303" s="18" t="n">
        <f aca="false">O303-P303</f>
        <v>624.27656</v>
      </c>
      <c r="R303" s="14" t="s">
        <v>124</v>
      </c>
      <c r="S303" s="14" t="s">
        <v>125</v>
      </c>
    </row>
    <row r="304" customFormat="false" ht="15" hidden="false" customHeight="false" outlineLevel="0" collapsed="false">
      <c r="A304" s="14" t="s">
        <v>794</v>
      </c>
      <c r="B304" s="15" t="n">
        <v>46068</v>
      </c>
      <c r="C304" s="14" t="s">
        <v>795</v>
      </c>
      <c r="D304" s="14" t="s">
        <v>796</v>
      </c>
      <c r="E304" s="14" t="s">
        <v>121</v>
      </c>
      <c r="F304" s="14" t="s">
        <v>122</v>
      </c>
      <c r="G304" s="14" t="s">
        <v>170</v>
      </c>
      <c r="H304" s="14" t="s">
        <v>69</v>
      </c>
      <c r="I304" s="14" t="str">
        <f aca="false">IFERROR(INDEX(Calculations!$B$6:$B$27,MATCH(H304,Calculations!$A$6:$A$27,0)),"Unknown")</f>
        <v>Smart Home</v>
      </c>
      <c r="J304" s="14" t="n">
        <v>3</v>
      </c>
      <c r="K304" s="16" t="n">
        <v>794.72</v>
      </c>
      <c r="L304" s="17" t="n">
        <v>0</v>
      </c>
      <c r="M304" s="18" t="n">
        <f aca="false">J304*K304*(1-L304)</f>
        <v>2384.16</v>
      </c>
      <c r="N304" s="18" t="n">
        <f aca="false">J304*IFERROR(INDEX(Calculations!$C$6:$C$27,MATCH(H304,Calculations!$A$6:$A$27,0)),0)</f>
        <v>1050</v>
      </c>
      <c r="O304" s="18" t="n">
        <f aca="false">M304-N304</f>
        <v>1334.16</v>
      </c>
      <c r="P304" s="18" t="n">
        <f aca="false">M304*IFERROR(INDEX(Calculations!$F$6:$F$11,MATCH(I304,Calculations!$E$6:$E$11,0)),0.1)</f>
        <v>262.2576</v>
      </c>
      <c r="Q304" s="18" t="n">
        <f aca="false">O304-P304</f>
        <v>1071.9024</v>
      </c>
      <c r="R304" s="14" t="s">
        <v>135</v>
      </c>
      <c r="S304" s="14" t="s">
        <v>125</v>
      </c>
    </row>
    <row r="305" customFormat="false" ht="15" hidden="false" customHeight="false" outlineLevel="0" collapsed="false">
      <c r="A305" s="14" t="s">
        <v>797</v>
      </c>
      <c r="B305" s="15" t="n">
        <v>46069</v>
      </c>
      <c r="C305" s="14" t="s">
        <v>798</v>
      </c>
      <c r="D305" s="14" t="s">
        <v>799</v>
      </c>
      <c r="E305" s="14" t="s">
        <v>139</v>
      </c>
      <c r="F305" s="14" t="s">
        <v>140</v>
      </c>
      <c r="G305" s="14" t="s">
        <v>134</v>
      </c>
      <c r="H305" s="14" t="s">
        <v>75</v>
      </c>
      <c r="I305" s="14" t="str">
        <f aca="false">IFERROR(INDEX(Calculations!$B$6:$B$27,MATCH(H305,Calculations!$A$6:$A$27,0)),"Unknown")</f>
        <v>Wearables</v>
      </c>
      <c r="J305" s="14" t="n">
        <v>2</v>
      </c>
      <c r="K305" s="16" t="n">
        <v>3395.22</v>
      </c>
      <c r="L305" s="17" t="n">
        <v>0.1</v>
      </c>
      <c r="M305" s="18" t="n">
        <f aca="false">J305*K305*(1-L305)</f>
        <v>6111.396</v>
      </c>
      <c r="N305" s="18" t="n">
        <f aca="false">J305*IFERROR(INDEX(Calculations!$C$6:$C$27,MATCH(H305,Calculations!$A$6:$A$27,0)),0)</f>
        <v>3800</v>
      </c>
      <c r="O305" s="18" t="n">
        <f aca="false">M305-N305</f>
        <v>2311.396</v>
      </c>
      <c r="P305" s="18" t="n">
        <f aca="false">M305*IFERROR(INDEX(Calculations!$F$6:$F$11,MATCH(I305,Calculations!$E$6:$E$11,0)),0.1)</f>
        <v>550.02564</v>
      </c>
      <c r="Q305" s="18" t="n">
        <f aca="false">O305-P305</f>
        <v>1761.37036</v>
      </c>
      <c r="R305" s="14" t="s">
        <v>135</v>
      </c>
      <c r="S305" s="14" t="s">
        <v>125</v>
      </c>
    </row>
    <row r="306" customFormat="false" ht="15" hidden="false" customHeight="false" outlineLevel="0" collapsed="false">
      <c r="A306" s="14" t="s">
        <v>800</v>
      </c>
      <c r="B306" s="15" t="n">
        <v>46070</v>
      </c>
      <c r="C306" s="14" t="s">
        <v>690</v>
      </c>
      <c r="D306" s="14" t="s">
        <v>691</v>
      </c>
      <c r="E306" s="14" t="s">
        <v>139</v>
      </c>
      <c r="F306" s="14" t="s">
        <v>140</v>
      </c>
      <c r="G306" s="14" t="s">
        <v>134</v>
      </c>
      <c r="H306" s="14" t="s">
        <v>69</v>
      </c>
      <c r="I306" s="14" t="str">
        <f aca="false">IFERROR(INDEX(Calculations!$B$6:$B$27,MATCH(H306,Calculations!$A$6:$A$27,0)),"Unknown")</f>
        <v>Smart Home</v>
      </c>
      <c r="J306" s="14" t="n">
        <v>3</v>
      </c>
      <c r="K306" s="16" t="n">
        <v>824.01</v>
      </c>
      <c r="L306" s="17" t="n">
        <v>0.1</v>
      </c>
      <c r="M306" s="18" t="n">
        <f aca="false">J306*K306*(1-L306)</f>
        <v>2224.827</v>
      </c>
      <c r="N306" s="18" t="n">
        <f aca="false">J306*IFERROR(INDEX(Calculations!$C$6:$C$27,MATCH(H306,Calculations!$A$6:$A$27,0)),0)</f>
        <v>1050</v>
      </c>
      <c r="O306" s="18" t="n">
        <f aca="false">M306-N306</f>
        <v>1174.827</v>
      </c>
      <c r="P306" s="18" t="n">
        <f aca="false">M306*IFERROR(INDEX(Calculations!$F$6:$F$11,MATCH(I306,Calculations!$E$6:$E$11,0)),0.1)</f>
        <v>244.73097</v>
      </c>
      <c r="Q306" s="18" t="n">
        <f aca="false">O306-P306</f>
        <v>930.09603</v>
      </c>
      <c r="R306" s="14" t="s">
        <v>135</v>
      </c>
      <c r="S306" s="14" t="s">
        <v>125</v>
      </c>
    </row>
    <row r="307" customFormat="false" ht="15" hidden="false" customHeight="false" outlineLevel="0" collapsed="false">
      <c r="A307" s="14" t="s">
        <v>801</v>
      </c>
      <c r="B307" s="15" t="n">
        <v>46073</v>
      </c>
      <c r="C307" s="14" t="s">
        <v>726</v>
      </c>
      <c r="D307" s="14" t="s">
        <v>727</v>
      </c>
      <c r="E307" s="14" t="s">
        <v>156</v>
      </c>
      <c r="F307" s="14" t="s">
        <v>157</v>
      </c>
      <c r="G307" s="14" t="s">
        <v>161</v>
      </c>
      <c r="H307" s="14" t="s">
        <v>52</v>
      </c>
      <c r="I307" s="14" t="str">
        <f aca="false">IFERROR(INDEX(Calculations!$B$6:$B$27,MATCH(H307,Calculations!$A$6:$A$27,0)),"Unknown")</f>
        <v>Audio</v>
      </c>
      <c r="J307" s="14" t="n">
        <v>1</v>
      </c>
      <c r="K307" s="16" t="n">
        <v>1841.6</v>
      </c>
      <c r="L307" s="17" t="n">
        <v>0.15</v>
      </c>
      <c r="M307" s="18" t="n">
        <f aca="false">J307*K307*(1-L307)</f>
        <v>1565.36</v>
      </c>
      <c r="N307" s="18" t="n">
        <f aca="false">J307*IFERROR(INDEX(Calculations!$C$6:$C$27,MATCH(H307,Calculations!$A$6:$A$27,0)),0)</f>
        <v>900</v>
      </c>
      <c r="O307" s="18" t="n">
        <f aca="false">M307-N307</f>
        <v>665.36</v>
      </c>
      <c r="P307" s="18" t="n">
        <f aca="false">M307*IFERROR(INDEX(Calculations!$F$6:$F$11,MATCH(I307,Calculations!$E$6:$E$11,0)),0.1)</f>
        <v>156.536</v>
      </c>
      <c r="Q307" s="18" t="n">
        <f aca="false">O307-P307</f>
        <v>508.824</v>
      </c>
      <c r="R307" s="14" t="s">
        <v>124</v>
      </c>
      <c r="S307" s="14" t="s">
        <v>125</v>
      </c>
    </row>
    <row r="308" customFormat="false" ht="15" hidden="false" customHeight="false" outlineLevel="0" collapsed="false">
      <c r="A308" s="14" t="s">
        <v>802</v>
      </c>
      <c r="B308" s="15" t="n">
        <v>46075</v>
      </c>
      <c r="C308" s="14" t="s">
        <v>398</v>
      </c>
      <c r="D308" s="14" t="s">
        <v>399</v>
      </c>
      <c r="E308" s="14" t="s">
        <v>139</v>
      </c>
      <c r="F308" s="14" t="s">
        <v>152</v>
      </c>
      <c r="G308" s="14" t="s">
        <v>170</v>
      </c>
      <c r="H308" s="14" t="s">
        <v>52</v>
      </c>
      <c r="I308" s="14" t="str">
        <f aca="false">IFERROR(INDEX(Calculations!$B$6:$B$27,MATCH(H308,Calculations!$A$6:$A$27,0)),"Unknown")</f>
        <v>Audio</v>
      </c>
      <c r="J308" s="14" t="n">
        <v>1</v>
      </c>
      <c r="K308" s="16" t="n">
        <v>1856.05</v>
      </c>
      <c r="L308" s="17" t="n">
        <v>0.15</v>
      </c>
      <c r="M308" s="18" t="n">
        <f aca="false">J308*K308*(1-L308)</f>
        <v>1577.6425</v>
      </c>
      <c r="N308" s="18" t="n">
        <f aca="false">J308*IFERROR(INDEX(Calculations!$C$6:$C$27,MATCH(H308,Calculations!$A$6:$A$27,0)),0)</f>
        <v>900</v>
      </c>
      <c r="O308" s="18" t="n">
        <f aca="false">M308-N308</f>
        <v>677.6425</v>
      </c>
      <c r="P308" s="18" t="n">
        <f aca="false">M308*IFERROR(INDEX(Calculations!$F$6:$F$11,MATCH(I308,Calculations!$E$6:$E$11,0)),0.1)</f>
        <v>157.76425</v>
      </c>
      <c r="Q308" s="18" t="n">
        <f aca="false">O308-P308</f>
        <v>519.87825</v>
      </c>
      <c r="R308" s="14" t="s">
        <v>130</v>
      </c>
      <c r="S308" s="14" t="s">
        <v>125</v>
      </c>
    </row>
    <row r="309" customFormat="false" ht="15" hidden="false" customHeight="false" outlineLevel="0" collapsed="false">
      <c r="A309" s="14" t="s">
        <v>803</v>
      </c>
      <c r="B309" s="15" t="n">
        <v>46076</v>
      </c>
      <c r="C309" s="14" t="s">
        <v>386</v>
      </c>
      <c r="D309" s="14" t="s">
        <v>387</v>
      </c>
      <c r="E309" s="14" t="s">
        <v>145</v>
      </c>
      <c r="F309" s="14" t="s">
        <v>146</v>
      </c>
      <c r="G309" s="14" t="s">
        <v>134</v>
      </c>
      <c r="H309" s="14" t="s">
        <v>64</v>
      </c>
      <c r="I309" s="14" t="str">
        <f aca="false">IFERROR(INDEX(Calculations!$B$6:$B$27,MATCH(H309,Calculations!$A$6:$A$27,0)),"Unknown")</f>
        <v>Computer Peripherals</v>
      </c>
      <c r="J309" s="14" t="n">
        <v>2</v>
      </c>
      <c r="K309" s="16" t="n">
        <v>810.56</v>
      </c>
      <c r="L309" s="17" t="n">
        <v>0.05</v>
      </c>
      <c r="M309" s="18" t="n">
        <f aca="false">J309*K309*(1-L309)</f>
        <v>1540.064</v>
      </c>
      <c r="N309" s="18" t="n">
        <f aca="false">J309*IFERROR(INDEX(Calculations!$C$6:$C$27,MATCH(H309,Calculations!$A$6:$A$27,0)),0)</f>
        <v>700</v>
      </c>
      <c r="O309" s="18" t="n">
        <f aca="false">M309-N309</f>
        <v>840.064</v>
      </c>
      <c r="P309" s="18" t="n">
        <f aca="false">M309*IFERROR(INDEX(Calculations!$F$6:$F$11,MATCH(I309,Calculations!$E$6:$E$11,0)),0.1)</f>
        <v>123.20512</v>
      </c>
      <c r="Q309" s="18" t="n">
        <f aca="false">O309-P309</f>
        <v>716.85888</v>
      </c>
      <c r="R309" s="14" t="s">
        <v>124</v>
      </c>
      <c r="S309" s="14" t="s">
        <v>205</v>
      </c>
    </row>
    <row r="310" customFormat="false" ht="15" hidden="false" customHeight="false" outlineLevel="0" collapsed="false">
      <c r="A310" s="14" t="s">
        <v>804</v>
      </c>
      <c r="B310" s="15" t="n">
        <v>46076</v>
      </c>
      <c r="C310" s="14" t="s">
        <v>551</v>
      </c>
      <c r="D310" s="14" t="s">
        <v>552</v>
      </c>
      <c r="E310" s="14" t="s">
        <v>145</v>
      </c>
      <c r="F310" s="14" t="s">
        <v>146</v>
      </c>
      <c r="G310" s="14" t="s">
        <v>141</v>
      </c>
      <c r="H310" s="14" t="s">
        <v>75</v>
      </c>
      <c r="I310" s="14" t="str">
        <f aca="false">IFERROR(INDEX(Calculations!$B$6:$B$27,MATCH(H310,Calculations!$A$6:$A$27,0)),"Unknown")</f>
        <v>Wearables</v>
      </c>
      <c r="J310" s="14" t="n">
        <v>3</v>
      </c>
      <c r="K310" s="16" t="n">
        <v>3357.4</v>
      </c>
      <c r="L310" s="17" t="n">
        <v>0.1</v>
      </c>
      <c r="M310" s="18" t="n">
        <f aca="false">J310*K310*(1-L310)</f>
        <v>9064.98</v>
      </c>
      <c r="N310" s="18" t="n">
        <f aca="false">J310*IFERROR(INDEX(Calculations!$C$6:$C$27,MATCH(H310,Calculations!$A$6:$A$27,0)),0)</f>
        <v>5700</v>
      </c>
      <c r="O310" s="18" t="n">
        <f aca="false">M310-N310</f>
        <v>3364.98</v>
      </c>
      <c r="P310" s="18" t="n">
        <f aca="false">M310*IFERROR(INDEX(Calculations!$F$6:$F$11,MATCH(I310,Calculations!$E$6:$E$11,0)),0.1)</f>
        <v>815.8482</v>
      </c>
      <c r="Q310" s="18" t="n">
        <f aca="false">O310-P310</f>
        <v>2549.1318</v>
      </c>
      <c r="R310" s="14" t="s">
        <v>243</v>
      </c>
      <c r="S310" s="14" t="s">
        <v>125</v>
      </c>
    </row>
    <row r="311" customFormat="false" ht="15" hidden="false" customHeight="false" outlineLevel="0" collapsed="false">
      <c r="A311" s="14" t="s">
        <v>805</v>
      </c>
      <c r="B311" s="15" t="n">
        <v>46076</v>
      </c>
      <c r="C311" s="14" t="s">
        <v>416</v>
      </c>
      <c r="D311" s="14" t="s">
        <v>417</v>
      </c>
      <c r="E311" s="14" t="s">
        <v>121</v>
      </c>
      <c r="F311" s="14" t="s">
        <v>122</v>
      </c>
      <c r="G311" s="14" t="s">
        <v>175</v>
      </c>
      <c r="H311" s="14" t="s">
        <v>60</v>
      </c>
      <c r="I311" s="14" t="str">
        <f aca="false">IFERROR(INDEX(Calculations!$B$6:$B$27,MATCH(H311,Calculations!$A$6:$A$27,0)),"Unknown")</f>
        <v>Mobile Accessories</v>
      </c>
      <c r="J311" s="14" t="n">
        <v>1</v>
      </c>
      <c r="K311" s="16" t="n">
        <v>253.53</v>
      </c>
      <c r="L311" s="17" t="n">
        <v>0</v>
      </c>
      <c r="M311" s="18" t="n">
        <f aca="false">J311*K311*(1-L311)</f>
        <v>253.53</v>
      </c>
      <c r="N311" s="18" t="n">
        <f aca="false">J311*IFERROR(INDEX(Calculations!$C$6:$C$27,MATCH(H311,Calculations!$A$6:$A$27,0)),0)</f>
        <v>90</v>
      </c>
      <c r="O311" s="18" t="n">
        <f aca="false">M311-N311</f>
        <v>163.53</v>
      </c>
      <c r="P311" s="18" t="n">
        <f aca="false">M311*IFERROR(INDEX(Calculations!$F$6:$F$11,MATCH(I311,Calculations!$E$6:$E$11,0)),0.1)</f>
        <v>30.4236</v>
      </c>
      <c r="Q311" s="18" t="n">
        <f aca="false">O311-P311</f>
        <v>133.1064</v>
      </c>
      <c r="R311" s="14" t="s">
        <v>135</v>
      </c>
      <c r="S311" s="14" t="s">
        <v>125</v>
      </c>
    </row>
    <row r="312" customFormat="false" ht="15" hidden="false" customHeight="false" outlineLevel="0" collapsed="false">
      <c r="A312" s="14" t="s">
        <v>806</v>
      </c>
      <c r="B312" s="15" t="n">
        <v>46076</v>
      </c>
      <c r="C312" s="14" t="s">
        <v>458</v>
      </c>
      <c r="D312" s="14" t="s">
        <v>459</v>
      </c>
      <c r="E312" s="14" t="s">
        <v>156</v>
      </c>
      <c r="F312" s="14" t="s">
        <v>157</v>
      </c>
      <c r="G312" s="14" t="s">
        <v>209</v>
      </c>
      <c r="H312" s="14" t="s">
        <v>73</v>
      </c>
      <c r="I312" s="14" t="str">
        <f aca="false">IFERROR(INDEX(Calculations!$B$6:$B$27,MATCH(H312,Calculations!$A$6:$A$27,0)),"Unknown")</f>
        <v>Wearables</v>
      </c>
      <c r="J312" s="14" t="n">
        <v>1</v>
      </c>
      <c r="K312" s="16" t="n">
        <v>2060.31</v>
      </c>
      <c r="L312" s="17" t="n">
        <v>0.1</v>
      </c>
      <c r="M312" s="18" t="n">
        <f aca="false">J312*K312*(1-L312)</f>
        <v>1854.279</v>
      </c>
      <c r="N312" s="18" t="n">
        <f aca="false">J312*IFERROR(INDEX(Calculations!$C$6:$C$27,MATCH(H312,Calculations!$A$6:$A$27,0)),0)</f>
        <v>1100</v>
      </c>
      <c r="O312" s="18" t="n">
        <f aca="false">M312-N312</f>
        <v>754.279</v>
      </c>
      <c r="P312" s="18" t="n">
        <f aca="false">M312*IFERROR(INDEX(Calculations!$F$6:$F$11,MATCH(I312,Calculations!$E$6:$E$11,0)),0.1)</f>
        <v>166.88511</v>
      </c>
      <c r="Q312" s="18" t="n">
        <f aca="false">O312-P312</f>
        <v>587.39389</v>
      </c>
      <c r="R312" s="14" t="s">
        <v>130</v>
      </c>
      <c r="S312" s="14" t="s">
        <v>125</v>
      </c>
    </row>
    <row r="313" customFormat="false" ht="15" hidden="false" customHeight="false" outlineLevel="0" collapsed="false">
      <c r="A313" s="14" t="s">
        <v>807</v>
      </c>
      <c r="B313" s="15" t="n">
        <v>46077</v>
      </c>
      <c r="C313" s="14" t="s">
        <v>598</v>
      </c>
      <c r="D313" s="14" t="s">
        <v>599</v>
      </c>
      <c r="E313" s="14" t="s">
        <v>156</v>
      </c>
      <c r="F313" s="14" t="s">
        <v>169</v>
      </c>
      <c r="G313" s="14" t="s">
        <v>123</v>
      </c>
      <c r="H313" s="14" t="s">
        <v>54</v>
      </c>
      <c r="I313" s="14" t="str">
        <f aca="false">IFERROR(INDEX(Calculations!$B$6:$B$27,MATCH(H313,Calculations!$A$6:$A$27,0)),"Unknown")</f>
        <v>Audio</v>
      </c>
      <c r="J313" s="14" t="n">
        <v>2</v>
      </c>
      <c r="K313" s="16" t="n">
        <v>2793.63</v>
      </c>
      <c r="L313" s="17" t="n">
        <v>0.1</v>
      </c>
      <c r="M313" s="18" t="n">
        <f aca="false">J313*K313*(1-L313)</f>
        <v>5028.534</v>
      </c>
      <c r="N313" s="18" t="n">
        <f aca="false">J313*IFERROR(INDEX(Calculations!$C$6:$C$27,MATCH(H313,Calculations!$A$6:$A$27,0)),0)</f>
        <v>2800</v>
      </c>
      <c r="O313" s="18" t="n">
        <f aca="false">M313-N313</f>
        <v>2228.534</v>
      </c>
      <c r="P313" s="18" t="n">
        <f aca="false">M313*IFERROR(INDEX(Calculations!$F$6:$F$11,MATCH(I313,Calculations!$E$6:$E$11,0)),0.1)</f>
        <v>502.8534</v>
      </c>
      <c r="Q313" s="18" t="n">
        <f aca="false">O313-P313</f>
        <v>1725.6806</v>
      </c>
      <c r="R313" s="14" t="s">
        <v>135</v>
      </c>
      <c r="S313" s="14" t="s">
        <v>125</v>
      </c>
    </row>
    <row r="314" customFormat="false" ht="15" hidden="false" customHeight="false" outlineLevel="0" collapsed="false">
      <c r="A314" s="14" t="s">
        <v>808</v>
      </c>
      <c r="B314" s="15" t="n">
        <v>46077</v>
      </c>
      <c r="C314" s="14" t="s">
        <v>639</v>
      </c>
      <c r="D314" s="14" t="s">
        <v>640</v>
      </c>
      <c r="E314" s="14" t="s">
        <v>121</v>
      </c>
      <c r="F314" s="14" t="s">
        <v>122</v>
      </c>
      <c r="G314" s="14" t="s">
        <v>175</v>
      </c>
      <c r="H314" s="14" t="s">
        <v>72</v>
      </c>
      <c r="I314" s="14" t="str">
        <f aca="false">IFERROR(INDEX(Calculations!$B$6:$B$27,MATCH(H314,Calculations!$A$6:$A$27,0)),"Unknown")</f>
        <v>Smart Home</v>
      </c>
      <c r="J314" s="14" t="n">
        <v>4</v>
      </c>
      <c r="K314" s="16" t="n">
        <v>4581.05</v>
      </c>
      <c r="L314" s="17" t="n">
        <v>0.15</v>
      </c>
      <c r="M314" s="18" t="n">
        <f aca="false">J314*K314*(1-L314)</f>
        <v>15575.57</v>
      </c>
      <c r="N314" s="18" t="n">
        <f aca="false">J314*IFERROR(INDEX(Calculations!$C$6:$C$27,MATCH(H314,Calculations!$A$6:$A$27,0)),0)</f>
        <v>10400</v>
      </c>
      <c r="O314" s="18" t="n">
        <f aca="false">M314-N314</f>
        <v>5175.57</v>
      </c>
      <c r="P314" s="18" t="n">
        <f aca="false">M314*IFERROR(INDEX(Calculations!$F$6:$F$11,MATCH(I314,Calculations!$E$6:$E$11,0)),0.1)</f>
        <v>1713.3127</v>
      </c>
      <c r="Q314" s="18" t="n">
        <f aca="false">O314-P314</f>
        <v>3462.2573</v>
      </c>
      <c r="R314" s="14" t="s">
        <v>243</v>
      </c>
      <c r="S314" s="14" t="s">
        <v>125</v>
      </c>
    </row>
    <row r="315" customFormat="false" ht="15" hidden="false" customHeight="false" outlineLevel="0" collapsed="false">
      <c r="A315" s="14" t="s">
        <v>809</v>
      </c>
      <c r="B315" s="15" t="n">
        <v>46077</v>
      </c>
      <c r="C315" s="14" t="s">
        <v>810</v>
      </c>
      <c r="D315" s="14" t="s">
        <v>811</v>
      </c>
      <c r="E315" s="14" t="s">
        <v>139</v>
      </c>
      <c r="F315" s="14" t="s">
        <v>152</v>
      </c>
      <c r="G315" s="14" t="s">
        <v>147</v>
      </c>
      <c r="H315" s="14" t="s">
        <v>68</v>
      </c>
      <c r="I315" s="14" t="str">
        <f aca="false">IFERROR(INDEX(Calculations!$B$6:$B$27,MATCH(H315,Calculations!$A$6:$A$27,0)),"Unknown")</f>
        <v>Computer Peripherals</v>
      </c>
      <c r="J315" s="14" t="n">
        <v>2</v>
      </c>
      <c r="K315" s="16" t="n">
        <v>1017.94</v>
      </c>
      <c r="L315" s="17" t="n">
        <v>0</v>
      </c>
      <c r="M315" s="18" t="n">
        <f aca="false">J315*K315*(1-L315)</f>
        <v>2035.88</v>
      </c>
      <c r="N315" s="18" t="n">
        <f aca="false">J315*IFERROR(INDEX(Calculations!$C$6:$C$27,MATCH(H315,Calculations!$A$6:$A$27,0)),0)</f>
        <v>1000</v>
      </c>
      <c r="O315" s="18" t="n">
        <f aca="false">M315-N315</f>
        <v>1035.88</v>
      </c>
      <c r="P315" s="18" t="n">
        <f aca="false">M315*IFERROR(INDEX(Calculations!$F$6:$F$11,MATCH(I315,Calculations!$E$6:$E$11,0)),0.1)</f>
        <v>162.8704</v>
      </c>
      <c r="Q315" s="18" t="n">
        <f aca="false">O315-P315</f>
        <v>873.0096</v>
      </c>
      <c r="R315" s="14" t="s">
        <v>130</v>
      </c>
      <c r="S315" s="14" t="s">
        <v>125</v>
      </c>
    </row>
    <row r="316" customFormat="false" ht="15" hidden="false" customHeight="false" outlineLevel="0" collapsed="false">
      <c r="A316" s="14" t="s">
        <v>812</v>
      </c>
      <c r="B316" s="15" t="n">
        <v>46079</v>
      </c>
      <c r="C316" s="14" t="s">
        <v>503</v>
      </c>
      <c r="D316" s="14" t="s">
        <v>504</v>
      </c>
      <c r="E316" s="14" t="s">
        <v>145</v>
      </c>
      <c r="F316" s="14" t="s">
        <v>174</v>
      </c>
      <c r="G316" s="14" t="s">
        <v>134</v>
      </c>
      <c r="H316" s="14" t="s">
        <v>69</v>
      </c>
      <c r="I316" s="14" t="str">
        <f aca="false">IFERROR(INDEX(Calculations!$B$6:$B$27,MATCH(H316,Calculations!$A$6:$A$27,0)),"Unknown")</f>
        <v>Smart Home</v>
      </c>
      <c r="J316" s="14" t="n">
        <v>1</v>
      </c>
      <c r="K316" s="16" t="n">
        <v>778.79</v>
      </c>
      <c r="L316" s="17" t="n">
        <v>0.05</v>
      </c>
      <c r="M316" s="18" t="n">
        <f aca="false">J316*K316*(1-L316)</f>
        <v>739.8505</v>
      </c>
      <c r="N316" s="18" t="n">
        <f aca="false">J316*IFERROR(INDEX(Calculations!$C$6:$C$27,MATCH(H316,Calculations!$A$6:$A$27,0)),0)</f>
        <v>350</v>
      </c>
      <c r="O316" s="18" t="n">
        <f aca="false">M316-N316</f>
        <v>389.8505</v>
      </c>
      <c r="P316" s="18" t="n">
        <f aca="false">M316*IFERROR(INDEX(Calculations!$F$6:$F$11,MATCH(I316,Calculations!$E$6:$E$11,0)),0.1)</f>
        <v>81.383555</v>
      </c>
      <c r="Q316" s="18" t="n">
        <f aca="false">O316-P316</f>
        <v>308.466945</v>
      </c>
      <c r="R316" s="14" t="s">
        <v>130</v>
      </c>
      <c r="S316" s="14" t="s">
        <v>125</v>
      </c>
    </row>
    <row r="317" customFormat="false" ht="15" hidden="false" customHeight="false" outlineLevel="0" collapsed="false">
      <c r="A317" s="14" t="s">
        <v>813</v>
      </c>
      <c r="B317" s="15" t="n">
        <v>46079</v>
      </c>
      <c r="C317" s="14" t="s">
        <v>480</v>
      </c>
      <c r="D317" s="14" t="s">
        <v>481</v>
      </c>
      <c r="E317" s="14" t="s">
        <v>121</v>
      </c>
      <c r="F317" s="14" t="s">
        <v>129</v>
      </c>
      <c r="G317" s="14" t="s">
        <v>170</v>
      </c>
      <c r="H317" s="14" t="s">
        <v>54</v>
      </c>
      <c r="I317" s="14" t="str">
        <f aca="false">IFERROR(INDEX(Calculations!$B$6:$B$27,MATCH(H317,Calculations!$A$6:$A$27,0)),"Unknown")</f>
        <v>Audio</v>
      </c>
      <c r="J317" s="14" t="n">
        <v>1</v>
      </c>
      <c r="K317" s="16" t="n">
        <v>2754.85</v>
      </c>
      <c r="L317" s="17" t="n">
        <v>0</v>
      </c>
      <c r="M317" s="18" t="n">
        <f aca="false">J317*K317*(1-L317)</f>
        <v>2754.85</v>
      </c>
      <c r="N317" s="18" t="n">
        <f aca="false">J317*IFERROR(INDEX(Calculations!$C$6:$C$27,MATCH(H317,Calculations!$A$6:$A$27,0)),0)</f>
        <v>1400</v>
      </c>
      <c r="O317" s="18" t="n">
        <f aca="false">M317-N317</f>
        <v>1354.85</v>
      </c>
      <c r="P317" s="18" t="n">
        <f aca="false">M317*IFERROR(INDEX(Calculations!$F$6:$F$11,MATCH(I317,Calculations!$E$6:$E$11,0)),0.1)</f>
        <v>275.485</v>
      </c>
      <c r="Q317" s="18" t="n">
        <f aca="false">O317-P317</f>
        <v>1079.365</v>
      </c>
      <c r="R317" s="14" t="s">
        <v>130</v>
      </c>
      <c r="S317" s="14" t="s">
        <v>125</v>
      </c>
    </row>
    <row r="318" customFormat="false" ht="15" hidden="false" customHeight="false" outlineLevel="0" collapsed="false">
      <c r="A318" s="14" t="s">
        <v>814</v>
      </c>
      <c r="B318" s="15" t="n">
        <v>46079</v>
      </c>
      <c r="C318" s="14" t="s">
        <v>332</v>
      </c>
      <c r="D318" s="14" t="s">
        <v>333</v>
      </c>
      <c r="E318" s="14" t="s">
        <v>121</v>
      </c>
      <c r="F318" s="14" t="s">
        <v>122</v>
      </c>
      <c r="G318" s="14" t="s">
        <v>161</v>
      </c>
      <c r="H318" s="14" t="s">
        <v>73</v>
      </c>
      <c r="I318" s="14" t="str">
        <f aca="false">IFERROR(INDEX(Calculations!$B$6:$B$27,MATCH(H318,Calculations!$A$6:$A$27,0)),"Unknown")</f>
        <v>Wearables</v>
      </c>
      <c r="J318" s="14" t="n">
        <v>1</v>
      </c>
      <c r="K318" s="16" t="n">
        <v>2032.45</v>
      </c>
      <c r="L318" s="17" t="n">
        <v>0.1</v>
      </c>
      <c r="M318" s="18" t="n">
        <f aca="false">J318*K318*(1-L318)</f>
        <v>1829.205</v>
      </c>
      <c r="N318" s="18" t="n">
        <f aca="false">J318*IFERROR(INDEX(Calculations!$C$6:$C$27,MATCH(H318,Calculations!$A$6:$A$27,0)),0)</f>
        <v>1100</v>
      </c>
      <c r="O318" s="18" t="n">
        <f aca="false">M318-N318</f>
        <v>729.205</v>
      </c>
      <c r="P318" s="18" t="n">
        <f aca="false">M318*IFERROR(INDEX(Calculations!$F$6:$F$11,MATCH(I318,Calculations!$E$6:$E$11,0)),0.1)</f>
        <v>164.62845</v>
      </c>
      <c r="Q318" s="18" t="n">
        <f aca="false">O318-P318</f>
        <v>564.57655</v>
      </c>
      <c r="R318" s="14" t="s">
        <v>135</v>
      </c>
      <c r="S318" s="14" t="s">
        <v>125</v>
      </c>
    </row>
    <row r="319" customFormat="false" ht="15" hidden="false" customHeight="false" outlineLevel="0" collapsed="false">
      <c r="A319" s="14" t="s">
        <v>815</v>
      </c>
      <c r="B319" s="15" t="n">
        <v>46081</v>
      </c>
      <c r="C319" s="14" t="s">
        <v>163</v>
      </c>
      <c r="D319" s="14" t="s">
        <v>164</v>
      </c>
      <c r="E319" s="14" t="s">
        <v>121</v>
      </c>
      <c r="F319" s="14" t="s">
        <v>129</v>
      </c>
      <c r="G319" s="14" t="s">
        <v>141</v>
      </c>
      <c r="H319" s="14" t="s">
        <v>68</v>
      </c>
      <c r="I319" s="14" t="str">
        <f aca="false">IFERROR(INDEX(Calculations!$B$6:$B$27,MATCH(H319,Calculations!$A$6:$A$27,0)),"Unknown")</f>
        <v>Computer Peripherals</v>
      </c>
      <c r="J319" s="14" t="n">
        <v>2</v>
      </c>
      <c r="K319" s="16" t="n">
        <v>973.34</v>
      </c>
      <c r="L319" s="17" t="n">
        <v>0.1</v>
      </c>
      <c r="M319" s="18" t="n">
        <f aca="false">J319*K319*(1-L319)</f>
        <v>1752.012</v>
      </c>
      <c r="N319" s="18" t="n">
        <f aca="false">J319*IFERROR(INDEX(Calculations!$C$6:$C$27,MATCH(H319,Calculations!$A$6:$A$27,0)),0)</f>
        <v>1000</v>
      </c>
      <c r="O319" s="18" t="n">
        <f aca="false">M319-N319</f>
        <v>752.012</v>
      </c>
      <c r="P319" s="18" t="n">
        <f aca="false">M319*IFERROR(INDEX(Calculations!$F$6:$F$11,MATCH(I319,Calculations!$E$6:$E$11,0)),0.1)</f>
        <v>140.16096</v>
      </c>
      <c r="Q319" s="18" t="n">
        <f aca="false">O319-P319</f>
        <v>611.85104</v>
      </c>
      <c r="R319" s="14" t="s">
        <v>135</v>
      </c>
      <c r="S319" s="14" t="s">
        <v>125</v>
      </c>
    </row>
    <row r="320" customFormat="false" ht="15" hidden="false" customHeight="false" outlineLevel="0" collapsed="false">
      <c r="A320" s="14" t="s">
        <v>816</v>
      </c>
      <c r="B320" s="15" t="n">
        <v>46081</v>
      </c>
      <c r="C320" s="14" t="s">
        <v>571</v>
      </c>
      <c r="D320" s="14" t="s">
        <v>572</v>
      </c>
      <c r="E320" s="14" t="s">
        <v>139</v>
      </c>
      <c r="F320" s="14" t="s">
        <v>140</v>
      </c>
      <c r="G320" s="14" t="s">
        <v>175</v>
      </c>
      <c r="H320" s="14" t="s">
        <v>69</v>
      </c>
      <c r="I320" s="14" t="str">
        <f aca="false">IFERROR(INDEX(Calculations!$B$6:$B$27,MATCH(H320,Calculations!$A$6:$A$27,0)),"Unknown")</f>
        <v>Smart Home</v>
      </c>
      <c r="J320" s="14" t="n">
        <v>1</v>
      </c>
      <c r="K320" s="16" t="n">
        <v>802.86</v>
      </c>
      <c r="L320" s="17" t="n">
        <v>0.1</v>
      </c>
      <c r="M320" s="18" t="n">
        <f aca="false">J320*K320*(1-L320)</f>
        <v>722.574</v>
      </c>
      <c r="N320" s="18" t="n">
        <f aca="false">J320*IFERROR(INDEX(Calculations!$C$6:$C$27,MATCH(H320,Calculations!$A$6:$A$27,0)),0)</f>
        <v>350</v>
      </c>
      <c r="O320" s="18" t="n">
        <f aca="false">M320-N320</f>
        <v>372.574</v>
      </c>
      <c r="P320" s="18" t="n">
        <f aca="false">M320*IFERROR(INDEX(Calculations!$F$6:$F$11,MATCH(I320,Calculations!$E$6:$E$11,0)),0.1)</f>
        <v>79.48314</v>
      </c>
      <c r="Q320" s="18" t="n">
        <f aca="false">O320-P320</f>
        <v>293.09086</v>
      </c>
      <c r="R320" s="14" t="s">
        <v>130</v>
      </c>
      <c r="S320" s="14" t="s">
        <v>125</v>
      </c>
    </row>
    <row r="321" customFormat="false" ht="15" hidden="false" customHeight="false" outlineLevel="0" collapsed="false">
      <c r="A321" s="14" t="s">
        <v>817</v>
      </c>
      <c r="B321" s="15" t="n">
        <v>46081</v>
      </c>
      <c r="C321" s="14" t="s">
        <v>598</v>
      </c>
      <c r="D321" s="14" t="s">
        <v>599</v>
      </c>
      <c r="E321" s="14" t="s">
        <v>156</v>
      </c>
      <c r="F321" s="14" t="s">
        <v>169</v>
      </c>
      <c r="G321" s="14" t="s">
        <v>209</v>
      </c>
      <c r="H321" s="14" t="s">
        <v>64</v>
      </c>
      <c r="I321" s="14" t="str">
        <f aca="false">IFERROR(INDEX(Calculations!$B$6:$B$27,MATCH(H321,Calculations!$A$6:$A$27,0)),"Unknown")</f>
        <v>Computer Peripherals</v>
      </c>
      <c r="J321" s="14" t="n">
        <v>2</v>
      </c>
      <c r="K321" s="16" t="n">
        <v>782.23</v>
      </c>
      <c r="L321" s="17" t="n">
        <v>0.05</v>
      </c>
      <c r="M321" s="18" t="n">
        <f aca="false">J321*K321*(1-L321)</f>
        <v>1486.237</v>
      </c>
      <c r="N321" s="18" t="n">
        <f aca="false">J321*IFERROR(INDEX(Calculations!$C$6:$C$27,MATCH(H321,Calculations!$A$6:$A$27,0)),0)</f>
        <v>700</v>
      </c>
      <c r="O321" s="18" t="n">
        <f aca="false">M321-N321</f>
        <v>786.237</v>
      </c>
      <c r="P321" s="18" t="n">
        <f aca="false">M321*IFERROR(INDEX(Calculations!$F$6:$F$11,MATCH(I321,Calculations!$E$6:$E$11,0)),0.1)</f>
        <v>118.89896</v>
      </c>
      <c r="Q321" s="18" t="n">
        <f aca="false">O321-P321</f>
        <v>667.33804</v>
      </c>
      <c r="R321" s="14" t="s">
        <v>243</v>
      </c>
      <c r="S321" s="14" t="s">
        <v>125</v>
      </c>
    </row>
    <row r="322" customFormat="false" ht="15" hidden="false" customHeight="false" outlineLevel="0" collapsed="false">
      <c r="A322" s="14" t="s">
        <v>818</v>
      </c>
      <c r="B322" s="15" t="n">
        <v>46082</v>
      </c>
      <c r="C322" s="14" t="s">
        <v>819</v>
      </c>
      <c r="D322" s="14" t="s">
        <v>820</v>
      </c>
      <c r="E322" s="14" t="s">
        <v>121</v>
      </c>
      <c r="F322" s="14" t="s">
        <v>122</v>
      </c>
      <c r="G322" s="14" t="s">
        <v>209</v>
      </c>
      <c r="H322" s="14" t="s">
        <v>58</v>
      </c>
      <c r="I322" s="14" t="str">
        <f aca="false">IFERROR(INDEX(Calculations!$B$6:$B$27,MATCH(H322,Calculations!$A$6:$A$27,0)),"Unknown")</f>
        <v>Mobile Accessories</v>
      </c>
      <c r="J322" s="14" t="n">
        <v>4</v>
      </c>
      <c r="K322" s="16" t="n">
        <v>503.62</v>
      </c>
      <c r="L322" s="17" t="n">
        <v>0.2</v>
      </c>
      <c r="M322" s="18" t="n">
        <f aca="false">J322*K322*(1-L322)</f>
        <v>1611.584</v>
      </c>
      <c r="N322" s="18" t="n">
        <f aca="false">J322*IFERROR(INDEX(Calculations!$C$6:$C$27,MATCH(H322,Calculations!$A$6:$A$27,0)),0)</f>
        <v>880</v>
      </c>
      <c r="O322" s="18" t="n">
        <f aca="false">M322-N322</f>
        <v>731.584</v>
      </c>
      <c r="P322" s="18" t="n">
        <f aca="false">M322*IFERROR(INDEX(Calculations!$F$6:$F$11,MATCH(I322,Calculations!$E$6:$E$11,0)),0.1)</f>
        <v>193.39008</v>
      </c>
      <c r="Q322" s="18" t="n">
        <f aca="false">O322-P322</f>
        <v>538.19392</v>
      </c>
      <c r="R322" s="14" t="s">
        <v>130</v>
      </c>
      <c r="S322" s="14" t="s">
        <v>125</v>
      </c>
    </row>
    <row r="323" customFormat="false" ht="15" hidden="false" customHeight="false" outlineLevel="0" collapsed="false">
      <c r="A323" s="14" t="s">
        <v>821</v>
      </c>
      <c r="B323" s="15" t="n">
        <v>46082</v>
      </c>
      <c r="C323" s="14" t="s">
        <v>236</v>
      </c>
      <c r="D323" s="14" t="s">
        <v>237</v>
      </c>
      <c r="E323" s="14" t="s">
        <v>145</v>
      </c>
      <c r="F323" s="14" t="s">
        <v>174</v>
      </c>
      <c r="G323" s="14" t="s">
        <v>123</v>
      </c>
      <c r="H323" s="14" t="s">
        <v>72</v>
      </c>
      <c r="I323" s="14" t="str">
        <f aca="false">IFERROR(INDEX(Calculations!$B$6:$B$27,MATCH(H323,Calculations!$A$6:$A$27,0)),"Unknown")</f>
        <v>Smart Home</v>
      </c>
      <c r="J323" s="14" t="n">
        <v>3</v>
      </c>
      <c r="K323" s="16" t="n">
        <v>4348.71</v>
      </c>
      <c r="L323" s="17" t="n">
        <v>0.05</v>
      </c>
      <c r="M323" s="18" t="n">
        <f aca="false">J323*K323*(1-L323)</f>
        <v>12393.8235</v>
      </c>
      <c r="N323" s="18" t="n">
        <f aca="false">J323*IFERROR(INDEX(Calculations!$C$6:$C$27,MATCH(H323,Calculations!$A$6:$A$27,0)),0)</f>
        <v>7800</v>
      </c>
      <c r="O323" s="18" t="n">
        <f aca="false">M323-N323</f>
        <v>4593.8235</v>
      </c>
      <c r="P323" s="18" t="n">
        <f aca="false">M323*IFERROR(INDEX(Calculations!$F$6:$F$11,MATCH(I323,Calculations!$E$6:$E$11,0)),0.1)</f>
        <v>1363.320585</v>
      </c>
      <c r="Q323" s="18" t="n">
        <f aca="false">O323-P323</f>
        <v>3230.502915</v>
      </c>
      <c r="R323" s="14" t="s">
        <v>135</v>
      </c>
      <c r="S323" s="14" t="s">
        <v>125</v>
      </c>
    </row>
    <row r="324" customFormat="false" ht="15" hidden="false" customHeight="false" outlineLevel="0" collapsed="false">
      <c r="A324" s="14" t="s">
        <v>822</v>
      </c>
      <c r="B324" s="15" t="n">
        <v>46082</v>
      </c>
      <c r="C324" s="14" t="s">
        <v>341</v>
      </c>
      <c r="D324" s="14" t="s">
        <v>342</v>
      </c>
      <c r="E324" s="14" t="s">
        <v>139</v>
      </c>
      <c r="F324" s="14" t="s">
        <v>152</v>
      </c>
      <c r="G324" s="14" t="s">
        <v>141</v>
      </c>
      <c r="H324" s="14" t="s">
        <v>73</v>
      </c>
      <c r="I324" s="14" t="str">
        <f aca="false">IFERROR(INDEX(Calculations!$B$6:$B$27,MATCH(H324,Calculations!$A$6:$A$27,0)),"Unknown")</f>
        <v>Wearables</v>
      </c>
      <c r="J324" s="14" t="n">
        <v>3</v>
      </c>
      <c r="K324" s="16" t="n">
        <v>1928.36</v>
      </c>
      <c r="L324" s="17" t="n">
        <v>0.1</v>
      </c>
      <c r="M324" s="18" t="n">
        <f aca="false">J324*K324*(1-L324)</f>
        <v>5206.572</v>
      </c>
      <c r="N324" s="18" t="n">
        <f aca="false">J324*IFERROR(INDEX(Calculations!$C$6:$C$27,MATCH(H324,Calculations!$A$6:$A$27,0)),0)</f>
        <v>3300</v>
      </c>
      <c r="O324" s="18" t="n">
        <f aca="false">M324-N324</f>
        <v>1906.572</v>
      </c>
      <c r="P324" s="18" t="n">
        <f aca="false">M324*IFERROR(INDEX(Calculations!$F$6:$F$11,MATCH(I324,Calculations!$E$6:$E$11,0)),0.1)</f>
        <v>468.59148</v>
      </c>
      <c r="Q324" s="18" t="n">
        <f aca="false">O324-P324</f>
        <v>1437.98052</v>
      </c>
      <c r="R324" s="14" t="s">
        <v>124</v>
      </c>
      <c r="S324" s="14" t="s">
        <v>125</v>
      </c>
    </row>
    <row r="325" customFormat="false" ht="15" hidden="false" customHeight="false" outlineLevel="0" collapsed="false">
      <c r="A325" s="14" t="s">
        <v>823</v>
      </c>
      <c r="B325" s="15" t="n">
        <v>46083</v>
      </c>
      <c r="C325" s="14" t="s">
        <v>267</v>
      </c>
      <c r="D325" s="14" t="s">
        <v>268</v>
      </c>
      <c r="E325" s="14" t="s">
        <v>194</v>
      </c>
      <c r="F325" s="14" t="s">
        <v>259</v>
      </c>
      <c r="G325" s="14" t="s">
        <v>134</v>
      </c>
      <c r="H325" s="14" t="s">
        <v>60</v>
      </c>
      <c r="I325" s="14" t="str">
        <f aca="false">IFERROR(INDEX(Calculations!$B$6:$B$27,MATCH(H325,Calculations!$A$6:$A$27,0)),"Unknown")</f>
        <v>Mobile Accessories</v>
      </c>
      <c r="J325" s="14" t="n">
        <v>5</v>
      </c>
      <c r="K325" s="16" t="n">
        <v>239.76</v>
      </c>
      <c r="L325" s="17" t="n">
        <v>0.15</v>
      </c>
      <c r="M325" s="18" t="n">
        <f aca="false">J325*K325*(1-L325)</f>
        <v>1018.98</v>
      </c>
      <c r="N325" s="18" t="n">
        <f aca="false">J325*IFERROR(INDEX(Calculations!$C$6:$C$27,MATCH(H325,Calculations!$A$6:$A$27,0)),0)</f>
        <v>450</v>
      </c>
      <c r="O325" s="18" t="n">
        <f aca="false">M325-N325</f>
        <v>568.98</v>
      </c>
      <c r="P325" s="18" t="n">
        <f aca="false">M325*IFERROR(INDEX(Calculations!$F$6:$F$11,MATCH(I325,Calculations!$E$6:$E$11,0)),0.1)</f>
        <v>122.2776</v>
      </c>
      <c r="Q325" s="18" t="n">
        <f aca="false">O325-P325</f>
        <v>446.7024</v>
      </c>
      <c r="R325" s="14" t="s">
        <v>165</v>
      </c>
      <c r="S325" s="14" t="s">
        <v>125</v>
      </c>
    </row>
    <row r="326" customFormat="false" ht="15" hidden="false" customHeight="false" outlineLevel="0" collapsed="false">
      <c r="A326" s="14" t="s">
        <v>824</v>
      </c>
      <c r="B326" s="15" t="n">
        <v>46083</v>
      </c>
      <c r="C326" s="14" t="s">
        <v>825</v>
      </c>
      <c r="D326" s="14" t="s">
        <v>826</v>
      </c>
      <c r="E326" s="14" t="s">
        <v>121</v>
      </c>
      <c r="F326" s="14" t="s">
        <v>122</v>
      </c>
      <c r="G326" s="14" t="s">
        <v>209</v>
      </c>
      <c r="H326" s="14" t="s">
        <v>64</v>
      </c>
      <c r="I326" s="14" t="str">
        <f aca="false">IFERROR(INDEX(Calculations!$B$6:$B$27,MATCH(H326,Calculations!$A$6:$A$27,0)),"Unknown")</f>
        <v>Computer Peripherals</v>
      </c>
      <c r="J326" s="14" t="n">
        <v>1</v>
      </c>
      <c r="K326" s="16" t="n">
        <v>780.55</v>
      </c>
      <c r="L326" s="17" t="n">
        <v>0.15</v>
      </c>
      <c r="M326" s="18" t="n">
        <f aca="false">J326*K326*(1-L326)</f>
        <v>663.4675</v>
      </c>
      <c r="N326" s="18" t="n">
        <f aca="false">J326*IFERROR(INDEX(Calculations!$C$6:$C$27,MATCH(H326,Calculations!$A$6:$A$27,0)),0)</f>
        <v>350</v>
      </c>
      <c r="O326" s="18" t="n">
        <f aca="false">M326-N326</f>
        <v>313.4675</v>
      </c>
      <c r="P326" s="18" t="n">
        <f aca="false">M326*IFERROR(INDEX(Calculations!$F$6:$F$11,MATCH(I326,Calculations!$E$6:$E$11,0)),0.1)</f>
        <v>53.0774</v>
      </c>
      <c r="Q326" s="18" t="n">
        <f aca="false">O326-P326</f>
        <v>260.3901</v>
      </c>
      <c r="R326" s="14" t="s">
        <v>165</v>
      </c>
      <c r="S326" s="14" t="s">
        <v>125</v>
      </c>
    </row>
    <row r="327" customFormat="false" ht="15" hidden="false" customHeight="false" outlineLevel="0" collapsed="false">
      <c r="A327" s="14" t="s">
        <v>827</v>
      </c>
      <c r="B327" s="15" t="n">
        <v>46083</v>
      </c>
      <c r="C327" s="14" t="s">
        <v>746</v>
      </c>
      <c r="D327" s="14" t="s">
        <v>747</v>
      </c>
      <c r="E327" s="14" t="s">
        <v>156</v>
      </c>
      <c r="F327" s="14" t="s">
        <v>169</v>
      </c>
      <c r="G327" s="14" t="s">
        <v>141</v>
      </c>
      <c r="H327" s="14" t="s">
        <v>68</v>
      </c>
      <c r="I327" s="14" t="str">
        <f aca="false">IFERROR(INDEX(Calculations!$B$6:$B$27,MATCH(H327,Calculations!$A$6:$A$27,0)),"Unknown")</f>
        <v>Computer Peripherals</v>
      </c>
      <c r="J327" s="14" t="n">
        <v>5</v>
      </c>
      <c r="K327" s="16" t="n">
        <v>963.34</v>
      </c>
      <c r="L327" s="17" t="n">
        <v>0.1</v>
      </c>
      <c r="M327" s="18" t="n">
        <f aca="false">J327*K327*(1-L327)</f>
        <v>4335.03</v>
      </c>
      <c r="N327" s="18" t="n">
        <f aca="false">J327*IFERROR(INDEX(Calculations!$C$6:$C$27,MATCH(H327,Calculations!$A$6:$A$27,0)),0)</f>
        <v>2500</v>
      </c>
      <c r="O327" s="18" t="n">
        <f aca="false">M327-N327</f>
        <v>1835.03</v>
      </c>
      <c r="P327" s="18" t="n">
        <f aca="false">M327*IFERROR(INDEX(Calculations!$F$6:$F$11,MATCH(I327,Calculations!$E$6:$E$11,0)),0.1)</f>
        <v>346.8024</v>
      </c>
      <c r="Q327" s="18" t="n">
        <f aca="false">O327-P327</f>
        <v>1488.2276</v>
      </c>
      <c r="R327" s="14" t="s">
        <v>130</v>
      </c>
      <c r="S327" s="14" t="s">
        <v>205</v>
      </c>
    </row>
    <row r="328" customFormat="false" ht="15" hidden="false" customHeight="false" outlineLevel="0" collapsed="false">
      <c r="A328" s="14" t="s">
        <v>828</v>
      </c>
      <c r="B328" s="15" t="n">
        <v>46083</v>
      </c>
      <c r="C328" s="14" t="s">
        <v>368</v>
      </c>
      <c r="D328" s="14" t="s">
        <v>369</v>
      </c>
      <c r="E328" s="14" t="s">
        <v>121</v>
      </c>
      <c r="F328" s="14" t="s">
        <v>129</v>
      </c>
      <c r="G328" s="14" t="s">
        <v>134</v>
      </c>
      <c r="H328" s="14" t="s">
        <v>56</v>
      </c>
      <c r="I328" s="14" t="str">
        <f aca="false">IFERROR(INDEX(Calculations!$B$6:$B$27,MATCH(H328,Calculations!$A$6:$A$27,0)),"Unknown")</f>
        <v>Audio</v>
      </c>
      <c r="J328" s="14" t="n">
        <v>1</v>
      </c>
      <c r="K328" s="16" t="n">
        <v>883.49</v>
      </c>
      <c r="L328" s="17" t="n">
        <v>0.1</v>
      </c>
      <c r="M328" s="18" t="n">
        <f aca="false">J328*K328*(1-L328)</f>
        <v>795.141</v>
      </c>
      <c r="N328" s="18" t="n">
        <f aca="false">J328*IFERROR(INDEX(Calculations!$C$6:$C$27,MATCH(H328,Calculations!$A$6:$A$27,0)),0)</f>
        <v>450</v>
      </c>
      <c r="O328" s="18" t="n">
        <f aca="false">M328-N328</f>
        <v>345.141</v>
      </c>
      <c r="P328" s="18" t="n">
        <f aca="false">M328*IFERROR(INDEX(Calculations!$F$6:$F$11,MATCH(I328,Calculations!$E$6:$E$11,0)),0.1)</f>
        <v>79.5141</v>
      </c>
      <c r="Q328" s="18" t="n">
        <f aca="false">O328-P328</f>
        <v>265.6269</v>
      </c>
      <c r="R328" s="14" t="s">
        <v>135</v>
      </c>
      <c r="S328" s="14" t="s">
        <v>125</v>
      </c>
    </row>
    <row r="329" customFormat="false" ht="15" hidden="false" customHeight="false" outlineLevel="0" collapsed="false">
      <c r="A329" s="14" t="s">
        <v>829</v>
      </c>
      <c r="B329" s="15" t="n">
        <v>46084</v>
      </c>
      <c r="C329" s="14" t="s">
        <v>670</v>
      </c>
      <c r="D329" s="14" t="s">
        <v>671</v>
      </c>
      <c r="E329" s="14" t="s">
        <v>139</v>
      </c>
      <c r="F329" s="14" t="s">
        <v>152</v>
      </c>
      <c r="G329" s="14" t="s">
        <v>170</v>
      </c>
      <c r="H329" s="14" t="s">
        <v>72</v>
      </c>
      <c r="I329" s="14" t="str">
        <f aca="false">IFERROR(INDEX(Calculations!$B$6:$B$27,MATCH(H329,Calculations!$A$6:$A$27,0)),"Unknown")</f>
        <v>Smart Home</v>
      </c>
      <c r="J329" s="14" t="n">
        <v>2</v>
      </c>
      <c r="K329" s="16" t="n">
        <v>4403.85</v>
      </c>
      <c r="L329" s="17" t="n">
        <v>0</v>
      </c>
      <c r="M329" s="18" t="n">
        <f aca="false">J329*K329*(1-L329)</f>
        <v>8807.7</v>
      </c>
      <c r="N329" s="18" t="n">
        <f aca="false">J329*IFERROR(INDEX(Calculations!$C$6:$C$27,MATCH(H329,Calculations!$A$6:$A$27,0)),0)</f>
        <v>5200</v>
      </c>
      <c r="O329" s="18" t="n">
        <f aca="false">M329-N329</f>
        <v>3607.7</v>
      </c>
      <c r="P329" s="18" t="n">
        <f aca="false">M329*IFERROR(INDEX(Calculations!$F$6:$F$11,MATCH(I329,Calculations!$E$6:$E$11,0)),0.1)</f>
        <v>968.847</v>
      </c>
      <c r="Q329" s="18" t="n">
        <f aca="false">O329-P329</f>
        <v>2638.853</v>
      </c>
      <c r="R329" s="14" t="s">
        <v>124</v>
      </c>
      <c r="S329" s="14" t="s">
        <v>210</v>
      </c>
    </row>
    <row r="330" customFormat="false" ht="15" hidden="false" customHeight="false" outlineLevel="0" collapsed="false">
      <c r="A330" s="14" t="s">
        <v>830</v>
      </c>
      <c r="B330" s="15" t="n">
        <v>46085</v>
      </c>
      <c r="C330" s="14" t="s">
        <v>180</v>
      </c>
      <c r="D330" s="14" t="s">
        <v>181</v>
      </c>
      <c r="E330" s="14" t="s">
        <v>139</v>
      </c>
      <c r="F330" s="14" t="s">
        <v>140</v>
      </c>
      <c r="G330" s="14" t="s">
        <v>134</v>
      </c>
      <c r="H330" s="14" t="s">
        <v>71</v>
      </c>
      <c r="I330" s="14" t="str">
        <f aca="false">IFERROR(INDEX(Calculations!$B$6:$B$27,MATCH(H330,Calculations!$A$6:$A$27,0)),"Unknown")</f>
        <v>Smart Home</v>
      </c>
      <c r="J330" s="14" t="n">
        <v>1</v>
      </c>
      <c r="K330" s="16" t="n">
        <v>913.11</v>
      </c>
      <c r="L330" s="17" t="n">
        <v>0</v>
      </c>
      <c r="M330" s="18" t="n">
        <f aca="false">J330*K330*(1-L330)</f>
        <v>913.11</v>
      </c>
      <c r="N330" s="18" t="n">
        <f aca="false">J330*IFERROR(INDEX(Calculations!$C$6:$C$27,MATCH(H330,Calculations!$A$6:$A$27,0)),0)</f>
        <v>450</v>
      </c>
      <c r="O330" s="18" t="n">
        <f aca="false">M330-N330</f>
        <v>463.11</v>
      </c>
      <c r="P330" s="18" t="n">
        <f aca="false">M330*IFERROR(INDEX(Calculations!$F$6:$F$11,MATCH(I330,Calculations!$E$6:$E$11,0)),0.1)</f>
        <v>100.4421</v>
      </c>
      <c r="Q330" s="18" t="n">
        <f aca="false">O330-P330</f>
        <v>362.6679</v>
      </c>
      <c r="R330" s="14" t="s">
        <v>243</v>
      </c>
      <c r="S330" s="14" t="s">
        <v>125</v>
      </c>
    </row>
    <row r="331" customFormat="false" ht="15" hidden="false" customHeight="false" outlineLevel="0" collapsed="false">
      <c r="A331" s="14" t="s">
        <v>831</v>
      </c>
      <c r="B331" s="15" t="n">
        <v>46085</v>
      </c>
      <c r="C331" s="14" t="s">
        <v>832</v>
      </c>
      <c r="D331" s="14" t="s">
        <v>833</v>
      </c>
      <c r="E331" s="14" t="s">
        <v>121</v>
      </c>
      <c r="F331" s="14" t="s">
        <v>129</v>
      </c>
      <c r="G331" s="14" t="s">
        <v>141</v>
      </c>
      <c r="H331" s="14" t="s">
        <v>72</v>
      </c>
      <c r="I331" s="14" t="str">
        <f aca="false">IFERROR(INDEX(Calculations!$B$6:$B$27,MATCH(H331,Calculations!$A$6:$A$27,0)),"Unknown")</f>
        <v>Smart Home</v>
      </c>
      <c r="J331" s="14" t="n">
        <v>4</v>
      </c>
      <c r="K331" s="16" t="n">
        <v>4570.14</v>
      </c>
      <c r="L331" s="17" t="n">
        <v>0.05</v>
      </c>
      <c r="M331" s="18" t="n">
        <f aca="false">J331*K331*(1-L331)</f>
        <v>17366.532</v>
      </c>
      <c r="N331" s="18" t="n">
        <f aca="false">J331*IFERROR(INDEX(Calculations!$C$6:$C$27,MATCH(H331,Calculations!$A$6:$A$27,0)),0)</f>
        <v>10400</v>
      </c>
      <c r="O331" s="18" t="n">
        <f aca="false">M331-N331</f>
        <v>6966.532</v>
      </c>
      <c r="P331" s="18" t="n">
        <f aca="false">M331*IFERROR(INDEX(Calculations!$F$6:$F$11,MATCH(I331,Calculations!$E$6:$E$11,0)),0.1)</f>
        <v>1910.31852</v>
      </c>
      <c r="Q331" s="18" t="n">
        <f aca="false">O331-P331</f>
        <v>5056.21348</v>
      </c>
      <c r="R331" s="14" t="s">
        <v>243</v>
      </c>
      <c r="S331" s="14" t="s">
        <v>125</v>
      </c>
    </row>
    <row r="332" customFormat="false" ht="15" hidden="false" customHeight="false" outlineLevel="0" collapsed="false">
      <c r="A332" s="14" t="s">
        <v>834</v>
      </c>
      <c r="B332" s="15" t="n">
        <v>46087</v>
      </c>
      <c r="C332" s="14" t="s">
        <v>835</v>
      </c>
      <c r="D332" s="14" t="s">
        <v>836</v>
      </c>
      <c r="E332" s="14" t="s">
        <v>139</v>
      </c>
      <c r="F332" s="14" t="s">
        <v>152</v>
      </c>
      <c r="G332" s="14" t="s">
        <v>209</v>
      </c>
      <c r="H332" s="14" t="s">
        <v>54</v>
      </c>
      <c r="I332" s="14" t="str">
        <f aca="false">IFERROR(INDEX(Calculations!$B$6:$B$27,MATCH(H332,Calculations!$A$6:$A$27,0)),"Unknown")</f>
        <v>Audio</v>
      </c>
      <c r="J332" s="14" t="n">
        <v>2</v>
      </c>
      <c r="K332" s="16" t="n">
        <v>2909.86</v>
      </c>
      <c r="L332" s="17" t="n">
        <v>0</v>
      </c>
      <c r="M332" s="18" t="n">
        <f aca="false">J332*K332*(1-L332)</f>
        <v>5819.72</v>
      </c>
      <c r="N332" s="18" t="n">
        <f aca="false">J332*IFERROR(INDEX(Calculations!$C$6:$C$27,MATCH(H332,Calculations!$A$6:$A$27,0)),0)</f>
        <v>2800</v>
      </c>
      <c r="O332" s="18" t="n">
        <f aca="false">M332-N332</f>
        <v>3019.72</v>
      </c>
      <c r="P332" s="18" t="n">
        <f aca="false">M332*IFERROR(INDEX(Calculations!$F$6:$F$11,MATCH(I332,Calculations!$E$6:$E$11,0)),0.1)</f>
        <v>581.972</v>
      </c>
      <c r="Q332" s="18" t="n">
        <f aca="false">O332-P332</f>
        <v>2437.748</v>
      </c>
      <c r="R332" s="14" t="s">
        <v>130</v>
      </c>
      <c r="S332" s="14" t="s">
        <v>125</v>
      </c>
    </row>
    <row r="333" customFormat="false" ht="15" hidden="false" customHeight="false" outlineLevel="0" collapsed="false">
      <c r="A333" s="14" t="s">
        <v>837</v>
      </c>
      <c r="B333" s="15" t="n">
        <v>46087</v>
      </c>
      <c r="C333" s="14" t="s">
        <v>257</v>
      </c>
      <c r="D333" s="14" t="s">
        <v>258</v>
      </c>
      <c r="E333" s="14" t="s">
        <v>194</v>
      </c>
      <c r="F333" s="14" t="s">
        <v>259</v>
      </c>
      <c r="G333" s="14" t="s">
        <v>134</v>
      </c>
      <c r="H333" s="14" t="s">
        <v>75</v>
      </c>
      <c r="I333" s="14" t="str">
        <f aca="false">IFERROR(INDEX(Calculations!$B$6:$B$27,MATCH(H333,Calculations!$A$6:$A$27,0)),"Unknown")</f>
        <v>Wearables</v>
      </c>
      <c r="J333" s="14" t="n">
        <v>2</v>
      </c>
      <c r="K333" s="16" t="n">
        <v>3278.97</v>
      </c>
      <c r="L333" s="17" t="n">
        <v>0.15</v>
      </c>
      <c r="M333" s="18" t="n">
        <f aca="false">J333*K333*(1-L333)</f>
        <v>5574.249</v>
      </c>
      <c r="N333" s="18" t="n">
        <f aca="false">J333*IFERROR(INDEX(Calculations!$C$6:$C$27,MATCH(H333,Calculations!$A$6:$A$27,0)),0)</f>
        <v>3800</v>
      </c>
      <c r="O333" s="18" t="n">
        <f aca="false">M333-N333</f>
        <v>1774.249</v>
      </c>
      <c r="P333" s="18" t="n">
        <f aca="false">M333*IFERROR(INDEX(Calculations!$F$6:$F$11,MATCH(I333,Calculations!$E$6:$E$11,0)),0.1)</f>
        <v>501.68241</v>
      </c>
      <c r="Q333" s="18" t="n">
        <f aca="false">O333-P333</f>
        <v>1272.56659</v>
      </c>
      <c r="R333" s="14" t="s">
        <v>124</v>
      </c>
      <c r="S333" s="14" t="s">
        <v>125</v>
      </c>
    </row>
    <row r="334" customFormat="false" ht="15" hidden="false" customHeight="false" outlineLevel="0" collapsed="false">
      <c r="A334" s="14" t="s">
        <v>838</v>
      </c>
      <c r="B334" s="15" t="n">
        <v>46088</v>
      </c>
      <c r="C334" s="14" t="s">
        <v>236</v>
      </c>
      <c r="D334" s="14" t="s">
        <v>237</v>
      </c>
      <c r="E334" s="14" t="s">
        <v>145</v>
      </c>
      <c r="F334" s="14" t="s">
        <v>174</v>
      </c>
      <c r="G334" s="14" t="s">
        <v>170</v>
      </c>
      <c r="H334" s="14" t="s">
        <v>77</v>
      </c>
      <c r="I334" s="14" t="str">
        <f aca="false">IFERROR(INDEX(Calculations!$B$6:$B$27,MATCH(H334,Calculations!$A$6:$A$27,0)),"Unknown")</f>
        <v>Cameras</v>
      </c>
      <c r="J334" s="14" t="n">
        <v>1</v>
      </c>
      <c r="K334" s="16" t="n">
        <v>5430.55</v>
      </c>
      <c r="L334" s="17" t="n">
        <v>0.1</v>
      </c>
      <c r="M334" s="18" t="n">
        <f aca="false">J334*K334*(1-L334)</f>
        <v>4887.495</v>
      </c>
      <c r="N334" s="18" t="n">
        <f aca="false">J334*IFERROR(INDEX(Calculations!$C$6:$C$27,MATCH(H334,Calculations!$A$6:$A$27,0)),0)</f>
        <v>3100</v>
      </c>
      <c r="O334" s="18" t="n">
        <f aca="false">M334-N334</f>
        <v>1787.495</v>
      </c>
      <c r="P334" s="18" t="n">
        <f aca="false">M334*IFERROR(INDEX(Calculations!$F$6:$F$11,MATCH(I334,Calculations!$E$6:$E$11,0)),0.1)</f>
        <v>366.562125</v>
      </c>
      <c r="Q334" s="18" t="n">
        <f aca="false">O334-P334</f>
        <v>1420.932875</v>
      </c>
      <c r="R334" s="14" t="s">
        <v>124</v>
      </c>
      <c r="S334" s="14" t="s">
        <v>125</v>
      </c>
    </row>
    <row r="335" customFormat="false" ht="15" hidden="false" customHeight="false" outlineLevel="0" collapsed="false">
      <c r="A335" s="14" t="s">
        <v>839</v>
      </c>
      <c r="B335" s="15" t="n">
        <v>46089</v>
      </c>
      <c r="C335" s="14" t="s">
        <v>586</v>
      </c>
      <c r="D335" s="14" t="s">
        <v>587</v>
      </c>
      <c r="E335" s="14" t="s">
        <v>145</v>
      </c>
      <c r="F335" s="14" t="s">
        <v>146</v>
      </c>
      <c r="G335" s="14" t="s">
        <v>147</v>
      </c>
      <c r="H335" s="14" t="s">
        <v>50</v>
      </c>
      <c r="I335" s="14" t="str">
        <f aca="false">IFERROR(INDEX(Calculations!$B$6:$B$27,MATCH(H335,Calculations!$A$6:$A$27,0)),"Unknown")</f>
        <v>Audio</v>
      </c>
      <c r="J335" s="14" t="n">
        <v>6</v>
      </c>
      <c r="K335" s="16" t="n">
        <v>1341.55</v>
      </c>
      <c r="L335" s="17" t="n">
        <v>0.15</v>
      </c>
      <c r="M335" s="18" t="n">
        <f aca="false">J335*K335*(1-L335)</f>
        <v>6841.905</v>
      </c>
      <c r="N335" s="18" t="n">
        <f aca="false">J335*IFERROR(INDEX(Calculations!$C$6:$C$27,MATCH(H335,Calculations!$A$6:$A$27,0)),0)</f>
        <v>3900</v>
      </c>
      <c r="O335" s="18" t="n">
        <f aca="false">M335-N335</f>
        <v>2941.905</v>
      </c>
      <c r="P335" s="18" t="n">
        <f aca="false">M335*IFERROR(INDEX(Calculations!$F$6:$F$11,MATCH(I335,Calculations!$E$6:$E$11,0)),0.1)</f>
        <v>684.1905</v>
      </c>
      <c r="Q335" s="18" t="n">
        <f aca="false">O335-P335</f>
        <v>2257.7145</v>
      </c>
      <c r="R335" s="14" t="s">
        <v>130</v>
      </c>
      <c r="S335" s="14" t="s">
        <v>205</v>
      </c>
    </row>
    <row r="336" customFormat="false" ht="15" hidden="false" customHeight="false" outlineLevel="0" collapsed="false">
      <c r="A336" s="14" t="s">
        <v>840</v>
      </c>
      <c r="B336" s="15" t="n">
        <v>46089</v>
      </c>
      <c r="C336" s="14" t="s">
        <v>841</v>
      </c>
      <c r="D336" s="14" t="s">
        <v>842</v>
      </c>
      <c r="E336" s="14" t="s">
        <v>121</v>
      </c>
      <c r="F336" s="14" t="s">
        <v>129</v>
      </c>
      <c r="G336" s="14" t="s">
        <v>209</v>
      </c>
      <c r="H336" s="14" t="s">
        <v>63</v>
      </c>
      <c r="I336" s="14" t="str">
        <f aca="false">IFERROR(INDEX(Calculations!$B$6:$B$27,MATCH(H336,Calculations!$A$6:$A$27,0)),"Unknown")</f>
        <v>Mobile Accessories</v>
      </c>
      <c r="J336" s="14" t="n">
        <v>3</v>
      </c>
      <c r="K336" s="16" t="n">
        <v>335.07</v>
      </c>
      <c r="L336" s="17" t="n">
        <v>0.05</v>
      </c>
      <c r="M336" s="18" t="n">
        <f aca="false">J336*K336*(1-L336)</f>
        <v>954.9495</v>
      </c>
      <c r="N336" s="18" t="n">
        <f aca="false">J336*IFERROR(INDEX(Calculations!$C$6:$C$27,MATCH(H336,Calculations!$A$6:$A$27,0)),0)</f>
        <v>450</v>
      </c>
      <c r="O336" s="18" t="n">
        <f aca="false">M336-N336</f>
        <v>504.9495</v>
      </c>
      <c r="P336" s="18" t="n">
        <f aca="false">M336*IFERROR(INDEX(Calculations!$F$6:$F$11,MATCH(I336,Calculations!$E$6:$E$11,0)),0.1)</f>
        <v>114.59394</v>
      </c>
      <c r="Q336" s="18" t="n">
        <f aca="false">O336-P336</f>
        <v>390.35556</v>
      </c>
      <c r="R336" s="14" t="s">
        <v>130</v>
      </c>
      <c r="S336" s="14" t="s">
        <v>125</v>
      </c>
    </row>
    <row r="337" customFormat="false" ht="15" hidden="false" customHeight="false" outlineLevel="0" collapsed="false">
      <c r="A337" s="14" t="s">
        <v>843</v>
      </c>
      <c r="B337" s="15" t="n">
        <v>46090</v>
      </c>
      <c r="C337" s="14" t="s">
        <v>844</v>
      </c>
      <c r="D337" s="14" t="s">
        <v>845</v>
      </c>
      <c r="E337" s="14" t="s">
        <v>194</v>
      </c>
      <c r="F337" s="14" t="s">
        <v>195</v>
      </c>
      <c r="G337" s="14" t="s">
        <v>161</v>
      </c>
      <c r="H337" s="14" t="s">
        <v>50</v>
      </c>
      <c r="I337" s="14" t="str">
        <f aca="false">IFERROR(INDEX(Calculations!$B$6:$B$27,MATCH(H337,Calculations!$A$6:$A$27,0)),"Unknown")</f>
        <v>Audio</v>
      </c>
      <c r="J337" s="14" t="n">
        <v>2</v>
      </c>
      <c r="K337" s="16" t="n">
        <v>1329.84</v>
      </c>
      <c r="L337" s="17" t="n">
        <v>0.05</v>
      </c>
      <c r="M337" s="18" t="n">
        <f aca="false">J337*K337*(1-L337)</f>
        <v>2526.696</v>
      </c>
      <c r="N337" s="18" t="n">
        <f aca="false">J337*IFERROR(INDEX(Calculations!$C$6:$C$27,MATCH(H337,Calculations!$A$6:$A$27,0)),0)</f>
        <v>1300</v>
      </c>
      <c r="O337" s="18" t="n">
        <f aca="false">M337-N337</f>
        <v>1226.696</v>
      </c>
      <c r="P337" s="18" t="n">
        <f aca="false">M337*IFERROR(INDEX(Calculations!$F$6:$F$11,MATCH(I337,Calculations!$E$6:$E$11,0)),0.1)</f>
        <v>252.6696</v>
      </c>
      <c r="Q337" s="18" t="n">
        <f aca="false">O337-P337</f>
        <v>974.0264</v>
      </c>
      <c r="R337" s="14" t="s">
        <v>130</v>
      </c>
      <c r="S337" s="14" t="s">
        <v>205</v>
      </c>
    </row>
    <row r="338" customFormat="false" ht="15" hidden="false" customHeight="false" outlineLevel="0" collapsed="false">
      <c r="A338" s="14" t="s">
        <v>846</v>
      </c>
      <c r="B338" s="15" t="n">
        <v>46090</v>
      </c>
      <c r="C338" s="14" t="s">
        <v>659</v>
      </c>
      <c r="D338" s="14" t="s">
        <v>660</v>
      </c>
      <c r="E338" s="14" t="s">
        <v>194</v>
      </c>
      <c r="F338" s="14" t="s">
        <v>259</v>
      </c>
      <c r="G338" s="14" t="s">
        <v>141</v>
      </c>
      <c r="H338" s="14" t="s">
        <v>76</v>
      </c>
      <c r="I338" s="14" t="str">
        <f aca="false">IFERROR(INDEX(Calculations!$B$6:$B$27,MATCH(H338,Calculations!$A$6:$A$27,0)),"Unknown")</f>
        <v>Cameras</v>
      </c>
      <c r="J338" s="14" t="n">
        <v>2</v>
      </c>
      <c r="K338" s="16" t="n">
        <v>7536.88</v>
      </c>
      <c r="L338" s="17" t="n">
        <v>0</v>
      </c>
      <c r="M338" s="18" t="n">
        <f aca="false">J338*K338*(1-L338)</f>
        <v>15073.76</v>
      </c>
      <c r="N338" s="18" t="n">
        <f aca="false">J338*IFERROR(INDEX(Calculations!$C$6:$C$27,MATCH(H338,Calculations!$A$6:$A$27,0)),0)</f>
        <v>8400</v>
      </c>
      <c r="O338" s="18" t="n">
        <f aca="false">M338-N338</f>
        <v>6673.76</v>
      </c>
      <c r="P338" s="18" t="n">
        <f aca="false">M338*IFERROR(INDEX(Calculations!$F$6:$F$11,MATCH(I338,Calculations!$E$6:$E$11,0)),0.1)</f>
        <v>1130.532</v>
      </c>
      <c r="Q338" s="18" t="n">
        <f aca="false">O338-P338</f>
        <v>5543.228</v>
      </c>
      <c r="R338" s="14" t="s">
        <v>165</v>
      </c>
      <c r="S338" s="14" t="s">
        <v>205</v>
      </c>
    </row>
    <row r="339" customFormat="false" ht="15" hidden="false" customHeight="false" outlineLevel="0" collapsed="false">
      <c r="A339" s="14" t="s">
        <v>847</v>
      </c>
      <c r="B339" s="15" t="n">
        <v>46091</v>
      </c>
      <c r="C339" s="14" t="s">
        <v>484</v>
      </c>
      <c r="D339" s="14" t="s">
        <v>485</v>
      </c>
      <c r="E339" s="14" t="s">
        <v>156</v>
      </c>
      <c r="F339" s="14" t="s">
        <v>169</v>
      </c>
      <c r="G339" s="14" t="s">
        <v>123</v>
      </c>
      <c r="H339" s="14" t="s">
        <v>74</v>
      </c>
      <c r="I339" s="14" t="str">
        <f aca="false">IFERROR(INDEX(Calculations!$B$6:$B$27,MATCH(H339,Calculations!$A$6:$A$27,0)),"Unknown")</f>
        <v>Wearables</v>
      </c>
      <c r="J339" s="14" t="n">
        <v>2</v>
      </c>
      <c r="K339" s="16" t="n">
        <v>6438.03</v>
      </c>
      <c r="L339" s="17" t="n">
        <v>0.05</v>
      </c>
      <c r="M339" s="18" t="n">
        <f aca="false">J339*K339*(1-L339)</f>
        <v>12232.257</v>
      </c>
      <c r="N339" s="18" t="n">
        <f aca="false">J339*IFERROR(INDEX(Calculations!$C$6:$C$27,MATCH(H339,Calculations!$A$6:$A$27,0)),0)</f>
        <v>7600</v>
      </c>
      <c r="O339" s="18" t="n">
        <f aca="false">M339-N339</f>
        <v>4632.257</v>
      </c>
      <c r="P339" s="18" t="n">
        <f aca="false">M339*IFERROR(INDEX(Calculations!$F$6:$F$11,MATCH(I339,Calculations!$E$6:$E$11,0)),0.1)</f>
        <v>1100.90313</v>
      </c>
      <c r="Q339" s="18" t="n">
        <f aca="false">O339-P339</f>
        <v>3531.35387</v>
      </c>
      <c r="R339" s="14" t="s">
        <v>124</v>
      </c>
      <c r="S339" s="14" t="s">
        <v>205</v>
      </c>
    </row>
    <row r="340" customFormat="false" ht="15" hidden="false" customHeight="false" outlineLevel="0" collapsed="false">
      <c r="A340" s="14" t="s">
        <v>848</v>
      </c>
      <c r="B340" s="15" t="n">
        <v>46093</v>
      </c>
      <c r="C340" s="14" t="s">
        <v>341</v>
      </c>
      <c r="D340" s="14" t="s">
        <v>342</v>
      </c>
      <c r="E340" s="14" t="s">
        <v>139</v>
      </c>
      <c r="F340" s="14" t="s">
        <v>152</v>
      </c>
      <c r="G340" s="14" t="s">
        <v>209</v>
      </c>
      <c r="H340" s="14" t="s">
        <v>54</v>
      </c>
      <c r="I340" s="14" t="str">
        <f aca="false">IFERROR(INDEX(Calculations!$B$6:$B$27,MATCH(H340,Calculations!$A$6:$A$27,0)),"Unknown")</f>
        <v>Audio</v>
      </c>
      <c r="J340" s="14" t="n">
        <v>1</v>
      </c>
      <c r="K340" s="16" t="n">
        <v>2818.9</v>
      </c>
      <c r="L340" s="17" t="n">
        <v>0.05</v>
      </c>
      <c r="M340" s="18" t="n">
        <f aca="false">J340*K340*(1-L340)</f>
        <v>2677.955</v>
      </c>
      <c r="N340" s="18" t="n">
        <f aca="false">J340*IFERROR(INDEX(Calculations!$C$6:$C$27,MATCH(H340,Calculations!$A$6:$A$27,0)),0)</f>
        <v>1400</v>
      </c>
      <c r="O340" s="18" t="n">
        <f aca="false">M340-N340</f>
        <v>1277.955</v>
      </c>
      <c r="P340" s="18" t="n">
        <f aca="false">M340*IFERROR(INDEX(Calculations!$F$6:$F$11,MATCH(I340,Calculations!$E$6:$E$11,0)),0.1)</f>
        <v>267.7955</v>
      </c>
      <c r="Q340" s="18" t="n">
        <f aca="false">O340-P340</f>
        <v>1010.1595</v>
      </c>
      <c r="R340" s="14" t="s">
        <v>124</v>
      </c>
      <c r="S340" s="14" t="s">
        <v>125</v>
      </c>
    </row>
    <row r="341" customFormat="false" ht="15" hidden="false" customHeight="false" outlineLevel="0" collapsed="false">
      <c r="A341" s="14" t="s">
        <v>849</v>
      </c>
      <c r="B341" s="15" t="n">
        <v>46095</v>
      </c>
      <c r="C341" s="14" t="s">
        <v>746</v>
      </c>
      <c r="D341" s="14" t="s">
        <v>747</v>
      </c>
      <c r="E341" s="14" t="s">
        <v>156</v>
      </c>
      <c r="F341" s="14" t="s">
        <v>169</v>
      </c>
      <c r="G341" s="14" t="s">
        <v>141</v>
      </c>
      <c r="H341" s="14" t="s">
        <v>66</v>
      </c>
      <c r="I341" s="14" t="str">
        <f aca="false">IFERROR(INDEX(Calculations!$B$6:$B$27,MATCH(H341,Calculations!$A$6:$A$27,0)),"Unknown")</f>
        <v>Computer Peripherals</v>
      </c>
      <c r="J341" s="14" t="n">
        <v>2</v>
      </c>
      <c r="K341" s="16" t="n">
        <v>13335.45</v>
      </c>
      <c r="L341" s="17" t="n">
        <v>0.1</v>
      </c>
      <c r="M341" s="18" t="n">
        <f aca="false">J341*K341*(1-L341)</f>
        <v>24003.81</v>
      </c>
      <c r="N341" s="18" t="n">
        <f aca="false">J341*IFERROR(INDEX(Calculations!$C$6:$C$27,MATCH(H341,Calculations!$A$6:$A$27,0)),0)</f>
        <v>14400</v>
      </c>
      <c r="O341" s="18" t="n">
        <f aca="false">M341-N341</f>
        <v>9603.81</v>
      </c>
      <c r="P341" s="18" t="n">
        <f aca="false">M341*IFERROR(INDEX(Calculations!$F$6:$F$11,MATCH(I341,Calculations!$E$6:$E$11,0)),0.1)</f>
        <v>1920.3048</v>
      </c>
      <c r="Q341" s="18" t="n">
        <f aca="false">O341-P341</f>
        <v>7683.5052</v>
      </c>
      <c r="R341" s="14" t="s">
        <v>135</v>
      </c>
      <c r="S341" s="14" t="s">
        <v>125</v>
      </c>
    </row>
    <row r="342" customFormat="false" ht="15" hidden="false" customHeight="false" outlineLevel="0" collapsed="false">
      <c r="A342" s="14" t="s">
        <v>850</v>
      </c>
      <c r="B342" s="15" t="n">
        <v>46095</v>
      </c>
      <c r="C342" s="14" t="s">
        <v>851</v>
      </c>
      <c r="D342" s="14" t="s">
        <v>852</v>
      </c>
      <c r="E342" s="14" t="s">
        <v>145</v>
      </c>
      <c r="F342" s="14" t="s">
        <v>146</v>
      </c>
      <c r="G342" s="14" t="s">
        <v>170</v>
      </c>
      <c r="H342" s="14" t="s">
        <v>64</v>
      </c>
      <c r="I342" s="14" t="str">
        <f aca="false">IFERROR(INDEX(Calculations!$B$6:$B$27,MATCH(H342,Calculations!$A$6:$A$27,0)),"Unknown")</f>
        <v>Computer Peripherals</v>
      </c>
      <c r="J342" s="14" t="n">
        <v>1</v>
      </c>
      <c r="K342" s="16" t="n">
        <v>820.55</v>
      </c>
      <c r="L342" s="17" t="n">
        <v>0.05</v>
      </c>
      <c r="M342" s="18" t="n">
        <f aca="false">J342*K342*(1-L342)</f>
        <v>779.5225</v>
      </c>
      <c r="N342" s="18" t="n">
        <f aca="false">J342*IFERROR(INDEX(Calculations!$C$6:$C$27,MATCH(H342,Calculations!$A$6:$A$27,0)),0)</f>
        <v>350</v>
      </c>
      <c r="O342" s="18" t="n">
        <f aca="false">M342-N342</f>
        <v>429.5225</v>
      </c>
      <c r="P342" s="18" t="n">
        <f aca="false">M342*IFERROR(INDEX(Calculations!$F$6:$F$11,MATCH(I342,Calculations!$E$6:$E$11,0)),0.1)</f>
        <v>62.3618</v>
      </c>
      <c r="Q342" s="18" t="n">
        <f aca="false">O342-P342</f>
        <v>367.1607</v>
      </c>
      <c r="R342" s="14" t="s">
        <v>130</v>
      </c>
      <c r="S342" s="14" t="s">
        <v>125</v>
      </c>
    </row>
    <row r="343" customFormat="false" ht="15" hidden="false" customHeight="false" outlineLevel="0" collapsed="false">
      <c r="A343" s="14" t="s">
        <v>853</v>
      </c>
      <c r="B343" s="15" t="n">
        <v>46096</v>
      </c>
      <c r="C343" s="14" t="s">
        <v>358</v>
      </c>
      <c r="D343" s="14" t="s">
        <v>359</v>
      </c>
      <c r="E343" s="14" t="s">
        <v>139</v>
      </c>
      <c r="F343" s="14" t="s">
        <v>152</v>
      </c>
      <c r="G343" s="14" t="s">
        <v>209</v>
      </c>
      <c r="H343" s="14" t="s">
        <v>72</v>
      </c>
      <c r="I343" s="14" t="str">
        <f aca="false">IFERROR(INDEX(Calculations!$B$6:$B$27,MATCH(H343,Calculations!$A$6:$A$27,0)),"Unknown")</f>
        <v>Smart Home</v>
      </c>
      <c r="J343" s="14" t="n">
        <v>3</v>
      </c>
      <c r="K343" s="16" t="n">
        <v>4577.07</v>
      </c>
      <c r="L343" s="17" t="n">
        <v>0.05</v>
      </c>
      <c r="M343" s="18" t="n">
        <f aca="false">J343*K343*(1-L343)</f>
        <v>13044.6495</v>
      </c>
      <c r="N343" s="18" t="n">
        <f aca="false">J343*IFERROR(INDEX(Calculations!$C$6:$C$27,MATCH(H343,Calculations!$A$6:$A$27,0)),0)</f>
        <v>7800</v>
      </c>
      <c r="O343" s="18" t="n">
        <f aca="false">M343-N343</f>
        <v>5244.6495</v>
      </c>
      <c r="P343" s="18" t="n">
        <f aca="false">M343*IFERROR(INDEX(Calculations!$F$6:$F$11,MATCH(I343,Calculations!$E$6:$E$11,0)),0.1)</f>
        <v>1434.911445</v>
      </c>
      <c r="Q343" s="18" t="n">
        <f aca="false">O343-P343</f>
        <v>3809.738055</v>
      </c>
      <c r="R343" s="14" t="s">
        <v>243</v>
      </c>
      <c r="S343" s="14" t="s">
        <v>125</v>
      </c>
    </row>
    <row r="344" customFormat="false" ht="15" hidden="false" customHeight="false" outlineLevel="0" collapsed="false">
      <c r="A344" s="14" t="s">
        <v>854</v>
      </c>
      <c r="B344" s="15" t="n">
        <v>46097</v>
      </c>
      <c r="C344" s="14" t="s">
        <v>855</v>
      </c>
      <c r="D344" s="14" t="s">
        <v>856</v>
      </c>
      <c r="E344" s="14" t="s">
        <v>194</v>
      </c>
      <c r="F344" s="14" t="s">
        <v>259</v>
      </c>
      <c r="G344" s="14" t="s">
        <v>147</v>
      </c>
      <c r="H344" s="14" t="s">
        <v>70</v>
      </c>
      <c r="I344" s="14" t="str">
        <f aca="false">IFERROR(INDEX(Calculations!$B$6:$B$27,MATCH(H344,Calculations!$A$6:$A$27,0)),"Unknown")</f>
        <v>Smart Home</v>
      </c>
      <c r="J344" s="14" t="n">
        <v>4</v>
      </c>
      <c r="K344" s="16" t="n">
        <v>3870.83</v>
      </c>
      <c r="L344" s="17" t="n">
        <v>0.1</v>
      </c>
      <c r="M344" s="18" t="n">
        <f aca="false">J344*K344*(1-L344)</f>
        <v>13934.988</v>
      </c>
      <c r="N344" s="18" t="n">
        <f aca="false">J344*IFERROR(INDEX(Calculations!$C$6:$C$27,MATCH(H344,Calculations!$A$6:$A$27,0)),0)</f>
        <v>8800</v>
      </c>
      <c r="O344" s="18" t="n">
        <f aca="false">M344-N344</f>
        <v>5134.988</v>
      </c>
      <c r="P344" s="18" t="n">
        <f aca="false">M344*IFERROR(INDEX(Calculations!$F$6:$F$11,MATCH(I344,Calculations!$E$6:$E$11,0)),0.1)</f>
        <v>1532.84868</v>
      </c>
      <c r="Q344" s="18" t="n">
        <f aca="false">O344-P344</f>
        <v>3602.13932</v>
      </c>
      <c r="R344" s="14" t="s">
        <v>124</v>
      </c>
      <c r="S344" s="14" t="s">
        <v>148</v>
      </c>
    </row>
    <row r="345" customFormat="false" ht="15" hidden="false" customHeight="false" outlineLevel="0" collapsed="false">
      <c r="A345" s="14" t="s">
        <v>857</v>
      </c>
      <c r="B345" s="15" t="n">
        <v>46097</v>
      </c>
      <c r="C345" s="14" t="s">
        <v>858</v>
      </c>
      <c r="D345" s="14" t="s">
        <v>859</v>
      </c>
      <c r="E345" s="14" t="s">
        <v>139</v>
      </c>
      <c r="F345" s="14" t="s">
        <v>152</v>
      </c>
      <c r="G345" s="14" t="s">
        <v>209</v>
      </c>
      <c r="H345" s="14" t="s">
        <v>67</v>
      </c>
      <c r="I345" s="14" t="str">
        <f aca="false">IFERROR(INDEX(Calculations!$B$6:$B$27,MATCH(H345,Calculations!$A$6:$A$27,0)),"Unknown")</f>
        <v>Computer Peripherals</v>
      </c>
      <c r="J345" s="14" t="n">
        <v>2</v>
      </c>
      <c r="K345" s="16" t="n">
        <v>1803.24</v>
      </c>
      <c r="L345" s="17" t="n">
        <v>0.05</v>
      </c>
      <c r="M345" s="18" t="n">
        <f aca="false">J345*K345*(1-L345)</f>
        <v>3426.156</v>
      </c>
      <c r="N345" s="18" t="n">
        <f aca="false">J345*IFERROR(INDEX(Calculations!$C$6:$C$27,MATCH(H345,Calculations!$A$6:$A$27,0)),0)</f>
        <v>1800</v>
      </c>
      <c r="O345" s="18" t="n">
        <f aca="false">M345-N345</f>
        <v>1626.156</v>
      </c>
      <c r="P345" s="18" t="n">
        <f aca="false">M345*IFERROR(INDEX(Calculations!$F$6:$F$11,MATCH(I345,Calculations!$E$6:$E$11,0)),0.1)</f>
        <v>274.09248</v>
      </c>
      <c r="Q345" s="18" t="n">
        <f aca="false">O345-P345</f>
        <v>1352.06352</v>
      </c>
      <c r="R345" s="14" t="s">
        <v>135</v>
      </c>
      <c r="S345" s="14" t="s">
        <v>125</v>
      </c>
    </row>
    <row r="346" customFormat="false" ht="15" hidden="false" customHeight="false" outlineLevel="0" collapsed="false">
      <c r="A346" s="14" t="s">
        <v>860</v>
      </c>
      <c r="B346" s="15" t="n">
        <v>46098</v>
      </c>
      <c r="C346" s="14" t="s">
        <v>401</v>
      </c>
      <c r="D346" s="14" t="s">
        <v>402</v>
      </c>
      <c r="E346" s="14" t="s">
        <v>145</v>
      </c>
      <c r="F346" s="14" t="s">
        <v>174</v>
      </c>
      <c r="G346" s="14" t="s">
        <v>134</v>
      </c>
      <c r="H346" s="14" t="s">
        <v>64</v>
      </c>
      <c r="I346" s="14" t="str">
        <f aca="false">IFERROR(INDEX(Calculations!$B$6:$B$27,MATCH(H346,Calculations!$A$6:$A$27,0)),"Unknown")</f>
        <v>Computer Peripherals</v>
      </c>
      <c r="J346" s="14" t="n">
        <v>1</v>
      </c>
      <c r="K346" s="16" t="n">
        <v>806.62</v>
      </c>
      <c r="L346" s="17" t="n">
        <v>0</v>
      </c>
      <c r="M346" s="18" t="n">
        <f aca="false">J346*K346*(1-L346)</f>
        <v>806.62</v>
      </c>
      <c r="N346" s="18" t="n">
        <f aca="false">J346*IFERROR(INDEX(Calculations!$C$6:$C$27,MATCH(H346,Calculations!$A$6:$A$27,0)),0)</f>
        <v>350</v>
      </c>
      <c r="O346" s="18" t="n">
        <f aca="false">M346-N346</f>
        <v>456.62</v>
      </c>
      <c r="P346" s="18" t="n">
        <f aca="false">M346*IFERROR(INDEX(Calculations!$F$6:$F$11,MATCH(I346,Calculations!$E$6:$E$11,0)),0.1)</f>
        <v>64.5296</v>
      </c>
      <c r="Q346" s="18" t="n">
        <f aca="false">O346-P346</f>
        <v>392.0904</v>
      </c>
      <c r="R346" s="14" t="s">
        <v>130</v>
      </c>
      <c r="S346" s="14" t="s">
        <v>125</v>
      </c>
    </row>
    <row r="347" customFormat="false" ht="15" hidden="false" customHeight="false" outlineLevel="0" collapsed="false">
      <c r="A347" s="14" t="s">
        <v>861</v>
      </c>
      <c r="B347" s="15" t="n">
        <v>46099</v>
      </c>
      <c r="C347" s="14" t="s">
        <v>355</v>
      </c>
      <c r="D347" s="14" t="s">
        <v>356</v>
      </c>
      <c r="E347" s="14" t="s">
        <v>145</v>
      </c>
      <c r="F347" s="14" t="s">
        <v>174</v>
      </c>
      <c r="G347" s="14" t="s">
        <v>141</v>
      </c>
      <c r="H347" s="14" t="s">
        <v>71</v>
      </c>
      <c r="I347" s="14" t="str">
        <f aca="false">IFERROR(INDEX(Calculations!$B$6:$B$27,MATCH(H347,Calculations!$A$6:$A$27,0)),"Unknown")</f>
        <v>Smart Home</v>
      </c>
      <c r="J347" s="14" t="n">
        <v>2</v>
      </c>
      <c r="K347" s="16" t="n">
        <v>870.88</v>
      </c>
      <c r="L347" s="17" t="n">
        <v>0.05</v>
      </c>
      <c r="M347" s="18" t="n">
        <f aca="false">J347*K347*(1-L347)</f>
        <v>1654.672</v>
      </c>
      <c r="N347" s="18" t="n">
        <f aca="false">J347*IFERROR(INDEX(Calculations!$C$6:$C$27,MATCH(H347,Calculations!$A$6:$A$27,0)),0)</f>
        <v>900</v>
      </c>
      <c r="O347" s="18" t="n">
        <f aca="false">M347-N347</f>
        <v>754.672</v>
      </c>
      <c r="P347" s="18" t="n">
        <f aca="false">M347*IFERROR(INDEX(Calculations!$F$6:$F$11,MATCH(I347,Calculations!$E$6:$E$11,0)),0.1)</f>
        <v>182.01392</v>
      </c>
      <c r="Q347" s="18" t="n">
        <f aca="false">O347-P347</f>
        <v>572.65808</v>
      </c>
      <c r="R347" s="14" t="s">
        <v>243</v>
      </c>
      <c r="S347" s="14" t="s">
        <v>125</v>
      </c>
    </row>
    <row r="348" customFormat="false" ht="15" hidden="false" customHeight="false" outlineLevel="0" collapsed="false">
      <c r="A348" s="14" t="s">
        <v>862</v>
      </c>
      <c r="B348" s="15" t="n">
        <v>46099</v>
      </c>
      <c r="C348" s="14" t="s">
        <v>410</v>
      </c>
      <c r="D348" s="14" t="s">
        <v>411</v>
      </c>
      <c r="E348" s="14" t="s">
        <v>194</v>
      </c>
      <c r="F348" s="14" t="s">
        <v>195</v>
      </c>
      <c r="G348" s="14" t="s">
        <v>170</v>
      </c>
      <c r="H348" s="14" t="s">
        <v>54</v>
      </c>
      <c r="I348" s="14" t="str">
        <f aca="false">IFERROR(INDEX(Calculations!$B$6:$B$27,MATCH(H348,Calculations!$A$6:$A$27,0)),"Unknown")</f>
        <v>Audio</v>
      </c>
      <c r="J348" s="14" t="n">
        <v>2</v>
      </c>
      <c r="K348" s="16" t="n">
        <v>2806.7</v>
      </c>
      <c r="L348" s="17" t="n">
        <v>0.2</v>
      </c>
      <c r="M348" s="18" t="n">
        <f aca="false">J348*K348*(1-L348)</f>
        <v>4490.72</v>
      </c>
      <c r="N348" s="18" t="n">
        <f aca="false">J348*IFERROR(INDEX(Calculations!$C$6:$C$27,MATCH(H348,Calculations!$A$6:$A$27,0)),0)</f>
        <v>2800</v>
      </c>
      <c r="O348" s="18" t="n">
        <f aca="false">M348-N348</f>
        <v>1690.72</v>
      </c>
      <c r="P348" s="18" t="n">
        <f aca="false">M348*IFERROR(INDEX(Calculations!$F$6:$F$11,MATCH(I348,Calculations!$E$6:$E$11,0)),0.1)</f>
        <v>449.072</v>
      </c>
      <c r="Q348" s="18" t="n">
        <f aca="false">O348-P348</f>
        <v>1241.648</v>
      </c>
      <c r="R348" s="14" t="s">
        <v>243</v>
      </c>
      <c r="S348" s="14" t="s">
        <v>125</v>
      </c>
    </row>
    <row r="349" customFormat="false" ht="15" hidden="false" customHeight="false" outlineLevel="0" collapsed="false">
      <c r="A349" s="14" t="s">
        <v>863</v>
      </c>
      <c r="B349" s="15" t="n">
        <v>46100</v>
      </c>
      <c r="C349" s="14" t="s">
        <v>604</v>
      </c>
      <c r="D349" s="14" t="s">
        <v>605</v>
      </c>
      <c r="E349" s="14" t="s">
        <v>121</v>
      </c>
      <c r="F349" s="14" t="s">
        <v>129</v>
      </c>
      <c r="G349" s="14" t="s">
        <v>147</v>
      </c>
      <c r="H349" s="14" t="s">
        <v>52</v>
      </c>
      <c r="I349" s="14" t="str">
        <f aca="false">IFERROR(INDEX(Calculations!$B$6:$B$27,MATCH(H349,Calculations!$A$6:$A$27,0)),"Unknown")</f>
        <v>Audio</v>
      </c>
      <c r="J349" s="14" t="n">
        <v>1</v>
      </c>
      <c r="K349" s="16" t="n">
        <v>1895.3</v>
      </c>
      <c r="L349" s="17" t="n">
        <v>0</v>
      </c>
      <c r="M349" s="18" t="n">
        <f aca="false">J349*K349*(1-L349)</f>
        <v>1895.3</v>
      </c>
      <c r="N349" s="18" t="n">
        <f aca="false">J349*IFERROR(INDEX(Calculations!$C$6:$C$27,MATCH(H349,Calculations!$A$6:$A$27,0)),0)</f>
        <v>900</v>
      </c>
      <c r="O349" s="18" t="n">
        <f aca="false">M349-N349</f>
        <v>995.3</v>
      </c>
      <c r="P349" s="18" t="n">
        <f aca="false">M349*IFERROR(INDEX(Calculations!$F$6:$F$11,MATCH(I349,Calculations!$E$6:$E$11,0)),0.1)</f>
        <v>189.53</v>
      </c>
      <c r="Q349" s="18" t="n">
        <f aca="false">O349-P349</f>
        <v>805.77</v>
      </c>
      <c r="R349" s="14" t="s">
        <v>130</v>
      </c>
      <c r="S349" s="14" t="s">
        <v>125</v>
      </c>
    </row>
    <row r="350" customFormat="false" ht="15" hidden="false" customHeight="false" outlineLevel="0" collapsed="false">
      <c r="A350" s="14" t="s">
        <v>864</v>
      </c>
      <c r="B350" s="15" t="n">
        <v>46100</v>
      </c>
      <c r="C350" s="14" t="s">
        <v>614</v>
      </c>
      <c r="D350" s="14" t="s">
        <v>615</v>
      </c>
      <c r="E350" s="14" t="s">
        <v>194</v>
      </c>
      <c r="F350" s="14" t="s">
        <v>195</v>
      </c>
      <c r="G350" s="14" t="s">
        <v>141</v>
      </c>
      <c r="H350" s="14" t="s">
        <v>71</v>
      </c>
      <c r="I350" s="14" t="str">
        <f aca="false">IFERROR(INDEX(Calculations!$B$6:$B$27,MATCH(H350,Calculations!$A$6:$A$27,0)),"Unknown")</f>
        <v>Smart Home</v>
      </c>
      <c r="J350" s="14" t="n">
        <v>2</v>
      </c>
      <c r="K350" s="16" t="n">
        <v>885.02</v>
      </c>
      <c r="L350" s="17" t="n">
        <v>0.1</v>
      </c>
      <c r="M350" s="18" t="n">
        <f aca="false">J350*K350*(1-L350)</f>
        <v>1593.036</v>
      </c>
      <c r="N350" s="18" t="n">
        <f aca="false">J350*IFERROR(INDEX(Calculations!$C$6:$C$27,MATCH(H350,Calculations!$A$6:$A$27,0)),0)</f>
        <v>900</v>
      </c>
      <c r="O350" s="18" t="n">
        <f aca="false">M350-N350</f>
        <v>693.036</v>
      </c>
      <c r="P350" s="18" t="n">
        <f aca="false">M350*IFERROR(INDEX(Calculations!$F$6:$F$11,MATCH(I350,Calculations!$E$6:$E$11,0)),0.1)</f>
        <v>175.23396</v>
      </c>
      <c r="Q350" s="18" t="n">
        <f aca="false">O350-P350</f>
        <v>517.80204</v>
      </c>
      <c r="R350" s="14" t="s">
        <v>135</v>
      </c>
      <c r="S350" s="14" t="s">
        <v>125</v>
      </c>
    </row>
    <row r="351" customFormat="false" ht="15" hidden="false" customHeight="false" outlineLevel="0" collapsed="false">
      <c r="A351" s="14" t="s">
        <v>865</v>
      </c>
      <c r="B351" s="15" t="n">
        <v>46101</v>
      </c>
      <c r="C351" s="14" t="s">
        <v>662</v>
      </c>
      <c r="D351" s="14" t="s">
        <v>663</v>
      </c>
      <c r="E351" s="14" t="s">
        <v>121</v>
      </c>
      <c r="F351" s="14" t="s">
        <v>129</v>
      </c>
      <c r="G351" s="14" t="s">
        <v>134</v>
      </c>
      <c r="H351" s="14" t="s">
        <v>65</v>
      </c>
      <c r="I351" s="14" t="str">
        <f aca="false">IFERROR(INDEX(Calculations!$B$6:$B$27,MATCH(H351,Calculations!$A$6:$A$27,0)),"Unknown")</f>
        <v>Computer Peripherals</v>
      </c>
      <c r="J351" s="14" t="n">
        <v>1</v>
      </c>
      <c r="K351" s="16" t="n">
        <v>3225.24</v>
      </c>
      <c r="L351" s="17" t="n">
        <v>0.15</v>
      </c>
      <c r="M351" s="18" t="n">
        <f aca="false">J351*K351*(1-L351)</f>
        <v>2741.454</v>
      </c>
      <c r="N351" s="18" t="n">
        <f aca="false">J351*IFERROR(INDEX(Calculations!$C$6:$C$27,MATCH(H351,Calculations!$A$6:$A$27,0)),0)</f>
        <v>1600</v>
      </c>
      <c r="O351" s="18" t="n">
        <f aca="false">M351-N351</f>
        <v>1141.454</v>
      </c>
      <c r="P351" s="18" t="n">
        <f aca="false">M351*IFERROR(INDEX(Calculations!$F$6:$F$11,MATCH(I351,Calculations!$E$6:$E$11,0)),0.1)</f>
        <v>219.31632</v>
      </c>
      <c r="Q351" s="18" t="n">
        <f aca="false">O351-P351</f>
        <v>922.13768</v>
      </c>
      <c r="R351" s="14" t="s">
        <v>124</v>
      </c>
      <c r="S351" s="14" t="s">
        <v>210</v>
      </c>
    </row>
    <row r="352" customFormat="false" ht="15" hidden="false" customHeight="false" outlineLevel="0" collapsed="false">
      <c r="A352" s="14" t="s">
        <v>866</v>
      </c>
      <c r="B352" s="15" t="n">
        <v>46101</v>
      </c>
      <c r="C352" s="14" t="s">
        <v>867</v>
      </c>
      <c r="D352" s="14" t="s">
        <v>868</v>
      </c>
      <c r="E352" s="14" t="s">
        <v>121</v>
      </c>
      <c r="F352" s="14" t="s">
        <v>122</v>
      </c>
      <c r="G352" s="14" t="s">
        <v>170</v>
      </c>
      <c r="H352" s="14" t="s">
        <v>67</v>
      </c>
      <c r="I352" s="14" t="str">
        <f aca="false">IFERROR(INDEX(Calculations!$B$6:$B$27,MATCH(H352,Calculations!$A$6:$A$27,0)),"Unknown")</f>
        <v>Computer Peripherals</v>
      </c>
      <c r="J352" s="14" t="n">
        <v>5</v>
      </c>
      <c r="K352" s="16" t="n">
        <v>1727.07</v>
      </c>
      <c r="L352" s="17" t="n">
        <v>0</v>
      </c>
      <c r="M352" s="18" t="n">
        <f aca="false">J352*K352*(1-L352)</f>
        <v>8635.35</v>
      </c>
      <c r="N352" s="18" t="n">
        <f aca="false">J352*IFERROR(INDEX(Calculations!$C$6:$C$27,MATCH(H352,Calculations!$A$6:$A$27,0)),0)</f>
        <v>4500</v>
      </c>
      <c r="O352" s="18" t="n">
        <f aca="false">M352-N352</f>
        <v>4135.35</v>
      </c>
      <c r="P352" s="18" t="n">
        <f aca="false">M352*IFERROR(INDEX(Calculations!$F$6:$F$11,MATCH(I352,Calculations!$E$6:$E$11,0)),0.1)</f>
        <v>690.828</v>
      </c>
      <c r="Q352" s="18" t="n">
        <f aca="false">O352-P352</f>
        <v>3444.522</v>
      </c>
      <c r="R352" s="14" t="s">
        <v>130</v>
      </c>
      <c r="S352" s="14" t="s">
        <v>125</v>
      </c>
    </row>
    <row r="353" customFormat="false" ht="15" hidden="false" customHeight="false" outlineLevel="0" collapsed="false">
      <c r="A353" s="14" t="s">
        <v>869</v>
      </c>
      <c r="B353" s="15" t="n">
        <v>46101</v>
      </c>
      <c r="C353" s="14" t="s">
        <v>528</v>
      </c>
      <c r="D353" s="14" t="s">
        <v>529</v>
      </c>
      <c r="E353" s="14" t="s">
        <v>145</v>
      </c>
      <c r="F353" s="14" t="s">
        <v>146</v>
      </c>
      <c r="G353" s="14" t="s">
        <v>209</v>
      </c>
      <c r="H353" s="14" t="s">
        <v>76</v>
      </c>
      <c r="I353" s="14" t="str">
        <f aca="false">IFERROR(INDEX(Calculations!$B$6:$B$27,MATCH(H353,Calculations!$A$6:$A$27,0)),"Unknown")</f>
        <v>Cameras</v>
      </c>
      <c r="J353" s="14" t="n">
        <v>3</v>
      </c>
      <c r="K353" s="16" t="n">
        <v>7266.93</v>
      </c>
      <c r="L353" s="17" t="n">
        <v>0.1</v>
      </c>
      <c r="M353" s="18" t="n">
        <f aca="false">J353*K353*(1-L353)</f>
        <v>19620.711</v>
      </c>
      <c r="N353" s="18" t="n">
        <f aca="false">J353*IFERROR(INDEX(Calculations!$C$6:$C$27,MATCH(H353,Calculations!$A$6:$A$27,0)),0)</f>
        <v>12600</v>
      </c>
      <c r="O353" s="18" t="n">
        <f aca="false">M353-N353</f>
        <v>7020.711</v>
      </c>
      <c r="P353" s="18" t="n">
        <f aca="false">M353*IFERROR(INDEX(Calculations!$F$6:$F$11,MATCH(I353,Calculations!$E$6:$E$11,0)),0.1)</f>
        <v>1471.553325</v>
      </c>
      <c r="Q353" s="18" t="n">
        <f aca="false">O353-P353</f>
        <v>5549.157675</v>
      </c>
      <c r="R353" s="14" t="s">
        <v>243</v>
      </c>
      <c r="S353" s="14" t="s">
        <v>125</v>
      </c>
    </row>
    <row r="354" customFormat="false" ht="15" hidden="false" customHeight="false" outlineLevel="0" collapsed="false">
      <c r="A354" s="14" t="s">
        <v>870</v>
      </c>
      <c r="B354" s="15" t="n">
        <v>46102</v>
      </c>
      <c r="C354" s="14" t="s">
        <v>197</v>
      </c>
      <c r="D354" s="14" t="s">
        <v>198</v>
      </c>
      <c r="E354" s="14" t="s">
        <v>121</v>
      </c>
      <c r="F354" s="14" t="s">
        <v>129</v>
      </c>
      <c r="G354" s="14" t="s">
        <v>141</v>
      </c>
      <c r="H354" s="14" t="s">
        <v>56</v>
      </c>
      <c r="I354" s="14" t="str">
        <f aca="false">IFERROR(INDEX(Calculations!$B$6:$B$27,MATCH(H354,Calculations!$A$6:$A$27,0)),"Unknown")</f>
        <v>Audio</v>
      </c>
      <c r="J354" s="14" t="n">
        <v>3</v>
      </c>
      <c r="K354" s="16" t="n">
        <v>911.39</v>
      </c>
      <c r="L354" s="17" t="n">
        <v>0.1</v>
      </c>
      <c r="M354" s="18" t="n">
        <f aca="false">J354*K354*(1-L354)</f>
        <v>2460.753</v>
      </c>
      <c r="N354" s="18" t="n">
        <f aca="false">J354*IFERROR(INDEX(Calculations!$C$6:$C$27,MATCH(H354,Calculations!$A$6:$A$27,0)),0)</f>
        <v>1350</v>
      </c>
      <c r="O354" s="18" t="n">
        <f aca="false">M354-N354</f>
        <v>1110.753</v>
      </c>
      <c r="P354" s="18" t="n">
        <f aca="false">M354*IFERROR(INDEX(Calculations!$F$6:$F$11,MATCH(I354,Calculations!$E$6:$E$11,0)),0.1)</f>
        <v>246.0753</v>
      </c>
      <c r="Q354" s="18" t="n">
        <f aca="false">O354-P354</f>
        <v>864.6777</v>
      </c>
      <c r="R354" s="14" t="s">
        <v>165</v>
      </c>
      <c r="S354" s="14" t="s">
        <v>148</v>
      </c>
    </row>
    <row r="355" customFormat="false" ht="15" hidden="false" customHeight="false" outlineLevel="0" collapsed="false">
      <c r="A355" s="14" t="s">
        <v>871</v>
      </c>
      <c r="B355" s="15" t="n">
        <v>46102</v>
      </c>
      <c r="C355" s="14" t="s">
        <v>192</v>
      </c>
      <c r="D355" s="14" t="s">
        <v>193</v>
      </c>
      <c r="E355" s="14" t="s">
        <v>194</v>
      </c>
      <c r="F355" s="14" t="s">
        <v>195</v>
      </c>
      <c r="G355" s="14" t="s">
        <v>175</v>
      </c>
      <c r="H355" s="14" t="s">
        <v>56</v>
      </c>
      <c r="I355" s="14" t="str">
        <f aca="false">IFERROR(INDEX(Calculations!$B$6:$B$27,MATCH(H355,Calculations!$A$6:$A$27,0)),"Unknown")</f>
        <v>Audio</v>
      </c>
      <c r="J355" s="14" t="n">
        <v>1</v>
      </c>
      <c r="K355" s="16" t="n">
        <v>916.38</v>
      </c>
      <c r="L355" s="17" t="n">
        <v>0.1</v>
      </c>
      <c r="M355" s="18" t="n">
        <f aca="false">J355*K355*(1-L355)</f>
        <v>824.742</v>
      </c>
      <c r="N355" s="18" t="n">
        <f aca="false">J355*IFERROR(INDEX(Calculations!$C$6:$C$27,MATCH(H355,Calculations!$A$6:$A$27,0)),0)</f>
        <v>450</v>
      </c>
      <c r="O355" s="18" t="n">
        <f aca="false">M355-N355</f>
        <v>374.742</v>
      </c>
      <c r="P355" s="18" t="n">
        <f aca="false">M355*IFERROR(INDEX(Calculations!$F$6:$F$11,MATCH(I355,Calculations!$E$6:$E$11,0)),0.1)</f>
        <v>82.4742</v>
      </c>
      <c r="Q355" s="18" t="n">
        <f aca="false">O355-P355</f>
        <v>292.2678</v>
      </c>
      <c r="R355" s="14" t="s">
        <v>130</v>
      </c>
      <c r="S355" s="14" t="s">
        <v>125</v>
      </c>
    </row>
    <row r="356" customFormat="false" ht="15" hidden="false" customHeight="false" outlineLevel="0" collapsed="false">
      <c r="A356" s="14" t="s">
        <v>872</v>
      </c>
      <c r="B356" s="15" t="n">
        <v>46103</v>
      </c>
      <c r="C356" s="14" t="s">
        <v>705</v>
      </c>
      <c r="D356" s="14" t="s">
        <v>706</v>
      </c>
      <c r="E356" s="14" t="s">
        <v>156</v>
      </c>
      <c r="F356" s="14" t="s">
        <v>169</v>
      </c>
      <c r="G356" s="14" t="s">
        <v>141</v>
      </c>
      <c r="H356" s="14" t="s">
        <v>60</v>
      </c>
      <c r="I356" s="14" t="str">
        <f aca="false">IFERROR(INDEX(Calculations!$B$6:$B$27,MATCH(H356,Calculations!$A$6:$A$27,0)),"Unknown")</f>
        <v>Mobile Accessories</v>
      </c>
      <c r="J356" s="14" t="n">
        <v>5</v>
      </c>
      <c r="K356" s="16" t="n">
        <v>240.9</v>
      </c>
      <c r="L356" s="17" t="n">
        <v>0</v>
      </c>
      <c r="M356" s="18" t="n">
        <f aca="false">J356*K356*(1-L356)</f>
        <v>1204.5</v>
      </c>
      <c r="N356" s="18" t="n">
        <f aca="false">J356*IFERROR(INDEX(Calculations!$C$6:$C$27,MATCH(H356,Calculations!$A$6:$A$27,0)),0)</f>
        <v>450</v>
      </c>
      <c r="O356" s="18" t="n">
        <f aca="false">M356-N356</f>
        <v>754.5</v>
      </c>
      <c r="P356" s="18" t="n">
        <f aca="false">M356*IFERROR(INDEX(Calculations!$F$6:$F$11,MATCH(I356,Calculations!$E$6:$E$11,0)),0.1)</f>
        <v>144.54</v>
      </c>
      <c r="Q356" s="18" t="n">
        <f aca="false">O356-P356</f>
        <v>609.96</v>
      </c>
      <c r="R356" s="14" t="s">
        <v>124</v>
      </c>
      <c r="S356" s="14" t="s">
        <v>125</v>
      </c>
    </row>
    <row r="357" customFormat="false" ht="15" hidden="false" customHeight="false" outlineLevel="0" collapsed="false">
      <c r="A357" s="14" t="s">
        <v>873</v>
      </c>
      <c r="B357" s="15" t="n">
        <v>46104</v>
      </c>
      <c r="C357" s="14" t="s">
        <v>389</v>
      </c>
      <c r="D357" s="14" t="s">
        <v>390</v>
      </c>
      <c r="E357" s="14" t="s">
        <v>145</v>
      </c>
      <c r="F357" s="14" t="s">
        <v>174</v>
      </c>
      <c r="G357" s="14" t="s">
        <v>209</v>
      </c>
      <c r="H357" s="14" t="s">
        <v>75</v>
      </c>
      <c r="I357" s="14" t="str">
        <f aca="false">IFERROR(INDEX(Calculations!$B$6:$B$27,MATCH(H357,Calculations!$A$6:$A$27,0)),"Unknown")</f>
        <v>Wearables</v>
      </c>
      <c r="J357" s="14" t="n">
        <v>1</v>
      </c>
      <c r="K357" s="16" t="n">
        <v>3405.93</v>
      </c>
      <c r="L357" s="17" t="n">
        <v>0.1</v>
      </c>
      <c r="M357" s="18" t="n">
        <f aca="false">J357*K357*(1-L357)</f>
        <v>3065.337</v>
      </c>
      <c r="N357" s="18" t="n">
        <f aca="false">J357*IFERROR(INDEX(Calculations!$C$6:$C$27,MATCH(H357,Calculations!$A$6:$A$27,0)),0)</f>
        <v>1900</v>
      </c>
      <c r="O357" s="18" t="n">
        <f aca="false">M357-N357</f>
        <v>1165.337</v>
      </c>
      <c r="P357" s="18" t="n">
        <f aca="false">M357*IFERROR(INDEX(Calculations!$F$6:$F$11,MATCH(I357,Calculations!$E$6:$E$11,0)),0.1)</f>
        <v>275.88033</v>
      </c>
      <c r="Q357" s="18" t="n">
        <f aca="false">O357-P357</f>
        <v>889.45667</v>
      </c>
      <c r="R357" s="14" t="s">
        <v>130</v>
      </c>
      <c r="S357" s="14" t="s">
        <v>125</v>
      </c>
    </row>
    <row r="358" customFormat="false" ht="15" hidden="false" customHeight="false" outlineLevel="0" collapsed="false">
      <c r="A358" s="14" t="s">
        <v>874</v>
      </c>
      <c r="B358" s="15" t="n">
        <v>46104</v>
      </c>
      <c r="C358" s="14" t="s">
        <v>653</v>
      </c>
      <c r="D358" s="14" t="s">
        <v>654</v>
      </c>
      <c r="E358" s="14" t="s">
        <v>194</v>
      </c>
      <c r="F358" s="14" t="s">
        <v>259</v>
      </c>
      <c r="G358" s="14" t="s">
        <v>147</v>
      </c>
      <c r="H358" s="14" t="s">
        <v>72</v>
      </c>
      <c r="I358" s="14" t="str">
        <f aca="false">IFERROR(INDEX(Calculations!$B$6:$B$27,MATCH(H358,Calculations!$A$6:$A$27,0)),"Unknown")</f>
        <v>Smart Home</v>
      </c>
      <c r="J358" s="14" t="n">
        <v>1</v>
      </c>
      <c r="K358" s="16" t="n">
        <v>4446.05</v>
      </c>
      <c r="L358" s="17" t="n">
        <v>0</v>
      </c>
      <c r="M358" s="18" t="n">
        <f aca="false">J358*K358*(1-L358)</f>
        <v>4446.05</v>
      </c>
      <c r="N358" s="18" t="n">
        <f aca="false">J358*IFERROR(INDEX(Calculations!$C$6:$C$27,MATCH(H358,Calculations!$A$6:$A$27,0)),0)</f>
        <v>2600</v>
      </c>
      <c r="O358" s="18" t="n">
        <f aca="false">M358-N358</f>
        <v>1846.05</v>
      </c>
      <c r="P358" s="18" t="n">
        <f aca="false">M358*IFERROR(INDEX(Calculations!$F$6:$F$11,MATCH(I358,Calculations!$E$6:$E$11,0)),0.1)</f>
        <v>489.0655</v>
      </c>
      <c r="Q358" s="18" t="n">
        <f aca="false">O358-P358</f>
        <v>1356.9845</v>
      </c>
      <c r="R358" s="14" t="s">
        <v>124</v>
      </c>
      <c r="S358" s="14" t="s">
        <v>205</v>
      </c>
    </row>
    <row r="359" customFormat="false" ht="15" hidden="false" customHeight="false" outlineLevel="0" collapsed="false">
      <c r="A359" s="14" t="s">
        <v>875</v>
      </c>
      <c r="B359" s="15" t="n">
        <v>46104</v>
      </c>
      <c r="C359" s="14" t="s">
        <v>287</v>
      </c>
      <c r="D359" s="14" t="s">
        <v>288</v>
      </c>
      <c r="E359" s="14" t="s">
        <v>139</v>
      </c>
      <c r="F359" s="14" t="s">
        <v>152</v>
      </c>
      <c r="G359" s="14" t="s">
        <v>161</v>
      </c>
      <c r="H359" s="14" t="s">
        <v>60</v>
      </c>
      <c r="I359" s="14" t="str">
        <f aca="false">IFERROR(INDEX(Calculations!$B$6:$B$27,MATCH(H359,Calculations!$A$6:$A$27,0)),"Unknown")</f>
        <v>Mobile Accessories</v>
      </c>
      <c r="J359" s="14" t="n">
        <v>3</v>
      </c>
      <c r="K359" s="16" t="n">
        <v>239.32</v>
      </c>
      <c r="L359" s="17" t="n">
        <v>0.05</v>
      </c>
      <c r="M359" s="18" t="n">
        <f aca="false">J359*K359*(1-L359)</f>
        <v>682.062</v>
      </c>
      <c r="N359" s="18" t="n">
        <f aca="false">J359*IFERROR(INDEX(Calculations!$C$6:$C$27,MATCH(H359,Calculations!$A$6:$A$27,0)),0)</f>
        <v>270</v>
      </c>
      <c r="O359" s="18" t="n">
        <f aca="false">M359-N359</f>
        <v>412.062</v>
      </c>
      <c r="P359" s="18" t="n">
        <f aca="false">M359*IFERROR(INDEX(Calculations!$F$6:$F$11,MATCH(I359,Calculations!$E$6:$E$11,0)),0.1)</f>
        <v>81.84744</v>
      </c>
      <c r="Q359" s="18" t="n">
        <f aca="false">O359-P359</f>
        <v>330.21456</v>
      </c>
      <c r="R359" s="14" t="s">
        <v>130</v>
      </c>
      <c r="S359" s="14" t="s">
        <v>125</v>
      </c>
    </row>
    <row r="360" customFormat="false" ht="15" hidden="false" customHeight="false" outlineLevel="0" collapsed="false">
      <c r="A360" s="14" t="s">
        <v>876</v>
      </c>
      <c r="B360" s="15" t="n">
        <v>46104</v>
      </c>
      <c r="C360" s="14" t="s">
        <v>257</v>
      </c>
      <c r="D360" s="14" t="s">
        <v>258</v>
      </c>
      <c r="E360" s="14" t="s">
        <v>194</v>
      </c>
      <c r="F360" s="14" t="s">
        <v>259</v>
      </c>
      <c r="G360" s="14" t="s">
        <v>134</v>
      </c>
      <c r="H360" s="14" t="s">
        <v>70</v>
      </c>
      <c r="I360" s="14" t="str">
        <f aca="false">IFERROR(INDEX(Calculations!$B$6:$B$27,MATCH(H360,Calculations!$A$6:$A$27,0)),"Unknown")</f>
        <v>Smart Home</v>
      </c>
      <c r="J360" s="14" t="n">
        <v>5</v>
      </c>
      <c r="K360" s="16" t="n">
        <v>3840.43</v>
      </c>
      <c r="L360" s="17" t="n">
        <v>0.1</v>
      </c>
      <c r="M360" s="18" t="n">
        <f aca="false">J360*K360*(1-L360)</f>
        <v>17281.935</v>
      </c>
      <c r="N360" s="18" t="n">
        <f aca="false">J360*IFERROR(INDEX(Calculations!$C$6:$C$27,MATCH(H360,Calculations!$A$6:$A$27,0)),0)</f>
        <v>11000</v>
      </c>
      <c r="O360" s="18" t="n">
        <f aca="false">M360-N360</f>
        <v>6281.935</v>
      </c>
      <c r="P360" s="18" t="n">
        <f aca="false">M360*IFERROR(INDEX(Calculations!$F$6:$F$11,MATCH(I360,Calculations!$E$6:$E$11,0)),0.1)</f>
        <v>1901.01285</v>
      </c>
      <c r="Q360" s="18" t="n">
        <f aca="false">O360-P360</f>
        <v>4380.92215</v>
      </c>
      <c r="R360" s="14" t="s">
        <v>124</v>
      </c>
      <c r="S360" s="14" t="s">
        <v>125</v>
      </c>
    </row>
    <row r="361" customFormat="false" ht="15" hidden="false" customHeight="false" outlineLevel="0" collapsed="false">
      <c r="A361" s="14" t="s">
        <v>877</v>
      </c>
      <c r="B361" s="15" t="n">
        <v>46106</v>
      </c>
      <c r="C361" s="14" t="s">
        <v>798</v>
      </c>
      <c r="D361" s="14" t="s">
        <v>799</v>
      </c>
      <c r="E361" s="14" t="s">
        <v>139</v>
      </c>
      <c r="F361" s="14" t="s">
        <v>140</v>
      </c>
      <c r="G361" s="14" t="s">
        <v>161</v>
      </c>
      <c r="H361" s="14" t="s">
        <v>70</v>
      </c>
      <c r="I361" s="14" t="str">
        <f aca="false">IFERROR(INDEX(Calculations!$B$6:$B$27,MATCH(H361,Calculations!$A$6:$A$27,0)),"Unknown")</f>
        <v>Smart Home</v>
      </c>
      <c r="J361" s="14" t="n">
        <v>3</v>
      </c>
      <c r="K361" s="16" t="n">
        <v>3999.93</v>
      </c>
      <c r="L361" s="17" t="n">
        <v>0.05</v>
      </c>
      <c r="M361" s="18" t="n">
        <f aca="false">J361*K361*(1-L361)</f>
        <v>11399.8005</v>
      </c>
      <c r="N361" s="18" t="n">
        <f aca="false">J361*IFERROR(INDEX(Calculations!$C$6:$C$27,MATCH(H361,Calculations!$A$6:$A$27,0)),0)</f>
        <v>6600</v>
      </c>
      <c r="O361" s="18" t="n">
        <f aca="false">M361-N361</f>
        <v>4799.8005</v>
      </c>
      <c r="P361" s="18" t="n">
        <f aca="false">M361*IFERROR(INDEX(Calculations!$F$6:$F$11,MATCH(I361,Calculations!$E$6:$E$11,0)),0.1)</f>
        <v>1253.978055</v>
      </c>
      <c r="Q361" s="18" t="n">
        <f aca="false">O361-P361</f>
        <v>3545.822445</v>
      </c>
      <c r="R361" s="14" t="s">
        <v>130</v>
      </c>
      <c r="S361" s="14" t="s">
        <v>125</v>
      </c>
    </row>
    <row r="362" customFormat="false" ht="15" hidden="false" customHeight="false" outlineLevel="0" collapsed="false">
      <c r="A362" s="14" t="s">
        <v>878</v>
      </c>
      <c r="B362" s="15" t="n">
        <v>46106</v>
      </c>
      <c r="C362" s="14" t="s">
        <v>326</v>
      </c>
      <c r="D362" s="14" t="s">
        <v>327</v>
      </c>
      <c r="E362" s="14" t="s">
        <v>194</v>
      </c>
      <c r="F362" s="14" t="s">
        <v>195</v>
      </c>
      <c r="G362" s="14" t="s">
        <v>134</v>
      </c>
      <c r="H362" s="14" t="s">
        <v>65</v>
      </c>
      <c r="I362" s="14" t="str">
        <f aca="false">IFERROR(INDEX(Calculations!$B$6:$B$27,MATCH(H362,Calculations!$A$6:$A$27,0)),"Unknown")</f>
        <v>Computer Peripherals</v>
      </c>
      <c r="J362" s="14" t="n">
        <v>2</v>
      </c>
      <c r="K362" s="16" t="n">
        <v>3227.95</v>
      </c>
      <c r="L362" s="17" t="n">
        <v>0</v>
      </c>
      <c r="M362" s="18" t="n">
        <f aca="false">J362*K362*(1-L362)</f>
        <v>6455.9</v>
      </c>
      <c r="N362" s="18" t="n">
        <f aca="false">J362*IFERROR(INDEX(Calculations!$C$6:$C$27,MATCH(H362,Calculations!$A$6:$A$27,0)),0)</f>
        <v>3200</v>
      </c>
      <c r="O362" s="18" t="n">
        <f aca="false">M362-N362</f>
        <v>3255.9</v>
      </c>
      <c r="P362" s="18" t="n">
        <f aca="false">M362*IFERROR(INDEX(Calculations!$F$6:$F$11,MATCH(I362,Calculations!$E$6:$E$11,0)),0.1)</f>
        <v>516.472</v>
      </c>
      <c r="Q362" s="18" t="n">
        <f aca="false">O362-P362</f>
        <v>2739.428</v>
      </c>
      <c r="R362" s="14" t="s">
        <v>124</v>
      </c>
      <c r="S362" s="14" t="s">
        <v>125</v>
      </c>
    </row>
    <row r="363" customFormat="false" ht="15" hidden="false" customHeight="false" outlineLevel="0" collapsed="false">
      <c r="A363" s="14" t="s">
        <v>879</v>
      </c>
      <c r="B363" s="15" t="n">
        <v>46107</v>
      </c>
      <c r="C363" s="14" t="s">
        <v>355</v>
      </c>
      <c r="D363" s="14" t="s">
        <v>356</v>
      </c>
      <c r="E363" s="14" t="s">
        <v>145</v>
      </c>
      <c r="F363" s="14" t="s">
        <v>174</v>
      </c>
      <c r="G363" s="14" t="s">
        <v>161</v>
      </c>
      <c r="H363" s="14" t="s">
        <v>76</v>
      </c>
      <c r="I363" s="14" t="str">
        <f aca="false">IFERROR(INDEX(Calculations!$B$6:$B$27,MATCH(H363,Calculations!$A$6:$A$27,0)),"Unknown")</f>
        <v>Cameras</v>
      </c>
      <c r="J363" s="14" t="n">
        <v>3</v>
      </c>
      <c r="K363" s="16" t="n">
        <v>7269.04</v>
      </c>
      <c r="L363" s="17" t="n">
        <v>0</v>
      </c>
      <c r="M363" s="18" t="n">
        <f aca="false">J363*K363*(1-L363)</f>
        <v>21807.12</v>
      </c>
      <c r="N363" s="18" t="n">
        <f aca="false">J363*IFERROR(INDEX(Calculations!$C$6:$C$27,MATCH(H363,Calculations!$A$6:$A$27,0)),0)</f>
        <v>12600</v>
      </c>
      <c r="O363" s="18" t="n">
        <f aca="false">M363-N363</f>
        <v>9207.12</v>
      </c>
      <c r="P363" s="18" t="n">
        <f aca="false">M363*IFERROR(INDEX(Calculations!$F$6:$F$11,MATCH(I363,Calculations!$E$6:$E$11,0)),0.1)</f>
        <v>1635.534</v>
      </c>
      <c r="Q363" s="18" t="n">
        <f aca="false">O363-P363</f>
        <v>7571.586</v>
      </c>
      <c r="R363" s="14" t="s">
        <v>130</v>
      </c>
      <c r="S363" s="14" t="s">
        <v>148</v>
      </c>
    </row>
    <row r="364" customFormat="false" ht="15" hidden="false" customHeight="false" outlineLevel="0" collapsed="false">
      <c r="A364" s="14" t="s">
        <v>880</v>
      </c>
      <c r="B364" s="15" t="n">
        <v>46107</v>
      </c>
      <c r="C364" s="14" t="s">
        <v>445</v>
      </c>
      <c r="D364" s="14" t="s">
        <v>446</v>
      </c>
      <c r="E364" s="14" t="s">
        <v>121</v>
      </c>
      <c r="F364" s="14" t="s">
        <v>129</v>
      </c>
      <c r="G364" s="14" t="s">
        <v>175</v>
      </c>
      <c r="H364" s="14" t="s">
        <v>58</v>
      </c>
      <c r="I364" s="14" t="str">
        <f aca="false">IFERROR(INDEX(Calculations!$B$6:$B$27,MATCH(H364,Calculations!$A$6:$A$27,0)),"Unknown")</f>
        <v>Mobile Accessories</v>
      </c>
      <c r="J364" s="14" t="n">
        <v>2</v>
      </c>
      <c r="K364" s="16" t="n">
        <v>517.67</v>
      </c>
      <c r="L364" s="17" t="n">
        <v>0.05</v>
      </c>
      <c r="M364" s="18" t="n">
        <f aca="false">J364*K364*(1-L364)</f>
        <v>983.573</v>
      </c>
      <c r="N364" s="18" t="n">
        <f aca="false">J364*IFERROR(INDEX(Calculations!$C$6:$C$27,MATCH(H364,Calculations!$A$6:$A$27,0)),0)</f>
        <v>440</v>
      </c>
      <c r="O364" s="18" t="n">
        <f aca="false">M364-N364</f>
        <v>543.573</v>
      </c>
      <c r="P364" s="18" t="n">
        <f aca="false">M364*IFERROR(INDEX(Calculations!$F$6:$F$11,MATCH(I364,Calculations!$E$6:$E$11,0)),0.1)</f>
        <v>118.02876</v>
      </c>
      <c r="Q364" s="18" t="n">
        <f aca="false">O364-P364</f>
        <v>425.54424</v>
      </c>
      <c r="R364" s="14" t="s">
        <v>130</v>
      </c>
      <c r="S364" s="14" t="s">
        <v>125</v>
      </c>
    </row>
    <row r="365" customFormat="false" ht="15" hidden="false" customHeight="false" outlineLevel="0" collapsed="false">
      <c r="A365" s="14" t="s">
        <v>881</v>
      </c>
      <c r="B365" s="15" t="n">
        <v>46108</v>
      </c>
      <c r="C365" s="14" t="s">
        <v>882</v>
      </c>
      <c r="D365" s="14" t="s">
        <v>883</v>
      </c>
      <c r="E365" s="14" t="s">
        <v>139</v>
      </c>
      <c r="F365" s="14" t="s">
        <v>140</v>
      </c>
      <c r="G365" s="14" t="s">
        <v>161</v>
      </c>
      <c r="H365" s="14" t="s">
        <v>50</v>
      </c>
      <c r="I365" s="14" t="str">
        <f aca="false">IFERROR(INDEX(Calculations!$B$6:$B$27,MATCH(H365,Calculations!$A$6:$A$27,0)),"Unknown")</f>
        <v>Audio</v>
      </c>
      <c r="J365" s="14" t="n">
        <v>3</v>
      </c>
      <c r="K365" s="16" t="n">
        <v>1263.46</v>
      </c>
      <c r="L365" s="17" t="n">
        <v>0.05</v>
      </c>
      <c r="M365" s="18" t="n">
        <f aca="false">J365*K365*(1-L365)</f>
        <v>3600.861</v>
      </c>
      <c r="N365" s="18" t="n">
        <f aca="false">J365*IFERROR(INDEX(Calculations!$C$6:$C$27,MATCH(H365,Calculations!$A$6:$A$27,0)),0)</f>
        <v>1950</v>
      </c>
      <c r="O365" s="18" t="n">
        <f aca="false">M365-N365</f>
        <v>1650.861</v>
      </c>
      <c r="P365" s="18" t="n">
        <f aca="false">M365*IFERROR(INDEX(Calculations!$F$6:$F$11,MATCH(I365,Calculations!$E$6:$E$11,0)),0.1)</f>
        <v>360.0861</v>
      </c>
      <c r="Q365" s="18" t="n">
        <f aca="false">O365-P365</f>
        <v>1290.7749</v>
      </c>
      <c r="R365" s="14" t="s">
        <v>124</v>
      </c>
      <c r="S365" s="14" t="s">
        <v>125</v>
      </c>
    </row>
    <row r="366" customFormat="false" ht="15" hidden="false" customHeight="false" outlineLevel="0" collapsed="false">
      <c r="A366" s="14" t="s">
        <v>884</v>
      </c>
      <c r="B366" s="15" t="n">
        <v>46108</v>
      </c>
      <c r="C366" s="14" t="s">
        <v>329</v>
      </c>
      <c r="D366" s="14" t="s">
        <v>330</v>
      </c>
      <c r="E366" s="14" t="s">
        <v>139</v>
      </c>
      <c r="F366" s="14" t="s">
        <v>140</v>
      </c>
      <c r="G366" s="14" t="s">
        <v>141</v>
      </c>
      <c r="H366" s="14" t="s">
        <v>70</v>
      </c>
      <c r="I366" s="14" t="str">
        <f aca="false">IFERROR(INDEX(Calculations!$B$6:$B$27,MATCH(H366,Calculations!$A$6:$A$27,0)),"Unknown")</f>
        <v>Smart Home</v>
      </c>
      <c r="J366" s="14" t="n">
        <v>2</v>
      </c>
      <c r="K366" s="16" t="n">
        <v>4010.49</v>
      </c>
      <c r="L366" s="17" t="n">
        <v>0.2</v>
      </c>
      <c r="M366" s="18" t="n">
        <f aca="false">J366*K366*(1-L366)</f>
        <v>6416.784</v>
      </c>
      <c r="N366" s="18" t="n">
        <f aca="false">J366*IFERROR(INDEX(Calculations!$C$6:$C$27,MATCH(H366,Calculations!$A$6:$A$27,0)),0)</f>
        <v>4400</v>
      </c>
      <c r="O366" s="18" t="n">
        <f aca="false">M366-N366</f>
        <v>2016.784</v>
      </c>
      <c r="P366" s="18" t="n">
        <f aca="false">M366*IFERROR(INDEX(Calculations!$F$6:$F$11,MATCH(I366,Calculations!$E$6:$E$11,0)),0.1)</f>
        <v>705.84624</v>
      </c>
      <c r="Q366" s="18" t="n">
        <f aca="false">O366-P366</f>
        <v>1310.93776</v>
      </c>
      <c r="R366" s="14" t="s">
        <v>130</v>
      </c>
      <c r="S366" s="14" t="s">
        <v>125</v>
      </c>
    </row>
    <row r="367" customFormat="false" ht="15" hidden="false" customHeight="false" outlineLevel="0" collapsed="false">
      <c r="A367" s="14" t="s">
        <v>885</v>
      </c>
      <c r="B367" s="15" t="n">
        <v>46110</v>
      </c>
      <c r="C367" s="14" t="s">
        <v>227</v>
      </c>
      <c r="D367" s="14" t="s">
        <v>228</v>
      </c>
      <c r="E367" s="14" t="s">
        <v>145</v>
      </c>
      <c r="F367" s="14" t="s">
        <v>146</v>
      </c>
      <c r="G367" s="14" t="s">
        <v>161</v>
      </c>
      <c r="H367" s="14" t="s">
        <v>77</v>
      </c>
      <c r="I367" s="14" t="str">
        <f aca="false">IFERROR(INDEX(Calculations!$B$6:$B$27,MATCH(H367,Calculations!$A$6:$A$27,0)),"Unknown")</f>
        <v>Cameras</v>
      </c>
      <c r="J367" s="14" t="n">
        <v>2</v>
      </c>
      <c r="K367" s="16" t="n">
        <v>5651.73</v>
      </c>
      <c r="L367" s="17" t="n">
        <v>0.05</v>
      </c>
      <c r="M367" s="18" t="n">
        <f aca="false">J367*K367*(1-L367)</f>
        <v>10738.287</v>
      </c>
      <c r="N367" s="18" t="n">
        <f aca="false">J367*IFERROR(INDEX(Calculations!$C$6:$C$27,MATCH(H367,Calculations!$A$6:$A$27,0)),0)</f>
        <v>6200</v>
      </c>
      <c r="O367" s="18" t="n">
        <f aca="false">M367-N367</f>
        <v>4538.287</v>
      </c>
      <c r="P367" s="18" t="n">
        <f aca="false">M367*IFERROR(INDEX(Calculations!$F$6:$F$11,MATCH(I367,Calculations!$E$6:$E$11,0)),0.1)</f>
        <v>805.371525</v>
      </c>
      <c r="Q367" s="18" t="n">
        <f aca="false">O367-P367</f>
        <v>3732.915475</v>
      </c>
      <c r="R367" s="14" t="s">
        <v>243</v>
      </c>
      <c r="S367" s="14" t="s">
        <v>125</v>
      </c>
    </row>
    <row r="368" customFormat="false" ht="15" hidden="false" customHeight="false" outlineLevel="0" collapsed="false">
      <c r="A368" s="14" t="s">
        <v>886</v>
      </c>
      <c r="B368" s="15" t="n">
        <v>46110</v>
      </c>
      <c r="C368" s="14" t="s">
        <v>495</v>
      </c>
      <c r="D368" s="14" t="s">
        <v>496</v>
      </c>
      <c r="E368" s="14" t="s">
        <v>145</v>
      </c>
      <c r="F368" s="14" t="s">
        <v>174</v>
      </c>
      <c r="G368" s="14" t="s">
        <v>147</v>
      </c>
      <c r="H368" s="14" t="s">
        <v>70</v>
      </c>
      <c r="I368" s="14" t="str">
        <f aca="false">IFERROR(INDEX(Calculations!$B$6:$B$27,MATCH(H368,Calculations!$A$6:$A$27,0)),"Unknown")</f>
        <v>Smart Home</v>
      </c>
      <c r="J368" s="14" t="n">
        <v>5</v>
      </c>
      <c r="K368" s="16" t="n">
        <v>3885.02</v>
      </c>
      <c r="L368" s="17" t="n">
        <v>0.15</v>
      </c>
      <c r="M368" s="18" t="n">
        <f aca="false">J368*K368*(1-L368)</f>
        <v>16511.335</v>
      </c>
      <c r="N368" s="18" t="n">
        <f aca="false">J368*IFERROR(INDEX(Calculations!$C$6:$C$27,MATCH(H368,Calculations!$A$6:$A$27,0)),0)</f>
        <v>11000</v>
      </c>
      <c r="O368" s="18" t="n">
        <f aca="false">M368-N368</f>
        <v>5511.335</v>
      </c>
      <c r="P368" s="18" t="n">
        <f aca="false">M368*IFERROR(INDEX(Calculations!$F$6:$F$11,MATCH(I368,Calculations!$E$6:$E$11,0)),0.1)</f>
        <v>1816.24685</v>
      </c>
      <c r="Q368" s="18" t="n">
        <f aca="false">O368-P368</f>
        <v>3695.08815</v>
      </c>
      <c r="R368" s="14" t="s">
        <v>130</v>
      </c>
      <c r="S368" s="14" t="s">
        <v>125</v>
      </c>
    </row>
    <row r="369" customFormat="false" ht="15" hidden="false" customHeight="false" outlineLevel="0" collapsed="false">
      <c r="A369" s="14" t="s">
        <v>887</v>
      </c>
      <c r="B369" s="15" t="n">
        <v>46111</v>
      </c>
      <c r="C369" s="14" t="s">
        <v>257</v>
      </c>
      <c r="D369" s="14" t="s">
        <v>258</v>
      </c>
      <c r="E369" s="14" t="s">
        <v>194</v>
      </c>
      <c r="F369" s="14" t="s">
        <v>259</v>
      </c>
      <c r="G369" s="14" t="s">
        <v>175</v>
      </c>
      <c r="H369" s="14" t="s">
        <v>54</v>
      </c>
      <c r="I369" s="14" t="str">
        <f aca="false">IFERROR(INDEX(Calculations!$B$6:$B$27,MATCH(H369,Calculations!$A$6:$A$27,0)),"Unknown")</f>
        <v>Audio</v>
      </c>
      <c r="J369" s="14" t="n">
        <v>1</v>
      </c>
      <c r="K369" s="16" t="n">
        <v>2727.34</v>
      </c>
      <c r="L369" s="17" t="n">
        <v>0</v>
      </c>
      <c r="M369" s="18" t="n">
        <f aca="false">J369*K369*(1-L369)</f>
        <v>2727.34</v>
      </c>
      <c r="N369" s="18" t="n">
        <f aca="false">J369*IFERROR(INDEX(Calculations!$C$6:$C$27,MATCH(H369,Calculations!$A$6:$A$27,0)),0)</f>
        <v>1400</v>
      </c>
      <c r="O369" s="18" t="n">
        <f aca="false">M369-N369</f>
        <v>1327.34</v>
      </c>
      <c r="P369" s="18" t="n">
        <f aca="false">M369*IFERROR(INDEX(Calculations!$F$6:$F$11,MATCH(I369,Calculations!$E$6:$E$11,0)),0.1)</f>
        <v>272.734</v>
      </c>
      <c r="Q369" s="18" t="n">
        <f aca="false">O369-P369</f>
        <v>1054.606</v>
      </c>
      <c r="R369" s="14" t="s">
        <v>135</v>
      </c>
      <c r="S369" s="14" t="s">
        <v>125</v>
      </c>
    </row>
    <row r="370" customFormat="false" ht="15" hidden="false" customHeight="false" outlineLevel="0" collapsed="false">
      <c r="A370" s="14" t="s">
        <v>888</v>
      </c>
      <c r="B370" s="15" t="n">
        <v>46111</v>
      </c>
      <c r="C370" s="14" t="s">
        <v>656</v>
      </c>
      <c r="D370" s="14" t="s">
        <v>657</v>
      </c>
      <c r="E370" s="14" t="s">
        <v>121</v>
      </c>
      <c r="F370" s="14" t="s">
        <v>122</v>
      </c>
      <c r="G370" s="14" t="s">
        <v>147</v>
      </c>
      <c r="H370" s="14" t="s">
        <v>54</v>
      </c>
      <c r="I370" s="14" t="str">
        <f aca="false">IFERROR(INDEX(Calculations!$B$6:$B$27,MATCH(H370,Calculations!$A$6:$A$27,0)),"Unknown")</f>
        <v>Audio</v>
      </c>
      <c r="J370" s="14" t="n">
        <v>2</v>
      </c>
      <c r="K370" s="16" t="n">
        <v>2881.29</v>
      </c>
      <c r="L370" s="17" t="n">
        <v>0.05</v>
      </c>
      <c r="M370" s="18" t="n">
        <f aca="false">J370*K370*(1-L370)</f>
        <v>5474.451</v>
      </c>
      <c r="N370" s="18" t="n">
        <f aca="false">J370*IFERROR(INDEX(Calculations!$C$6:$C$27,MATCH(H370,Calculations!$A$6:$A$27,0)),0)</f>
        <v>2800</v>
      </c>
      <c r="O370" s="18" t="n">
        <f aca="false">M370-N370</f>
        <v>2674.451</v>
      </c>
      <c r="P370" s="18" t="n">
        <f aca="false">M370*IFERROR(INDEX(Calculations!$F$6:$F$11,MATCH(I370,Calculations!$E$6:$E$11,0)),0.1)</f>
        <v>547.4451</v>
      </c>
      <c r="Q370" s="18" t="n">
        <f aca="false">O370-P370</f>
        <v>2127.0059</v>
      </c>
      <c r="R370" s="14" t="s">
        <v>130</v>
      </c>
      <c r="S370" s="14" t="s">
        <v>125</v>
      </c>
    </row>
    <row r="371" customFormat="false" ht="15" hidden="false" customHeight="false" outlineLevel="0" collapsed="false">
      <c r="A371" s="14" t="s">
        <v>889</v>
      </c>
      <c r="B371" s="15" t="n">
        <v>46112</v>
      </c>
      <c r="C371" s="14" t="s">
        <v>362</v>
      </c>
      <c r="D371" s="14" t="s">
        <v>363</v>
      </c>
      <c r="E371" s="14" t="s">
        <v>194</v>
      </c>
      <c r="F371" s="14" t="s">
        <v>259</v>
      </c>
      <c r="G371" s="14" t="s">
        <v>170</v>
      </c>
      <c r="H371" s="14" t="s">
        <v>66</v>
      </c>
      <c r="I371" s="14" t="str">
        <f aca="false">IFERROR(INDEX(Calculations!$B$6:$B$27,MATCH(H371,Calculations!$A$6:$A$27,0)),"Unknown")</f>
        <v>Computer Peripherals</v>
      </c>
      <c r="J371" s="14" t="n">
        <v>1</v>
      </c>
      <c r="K371" s="16" t="n">
        <v>13407.83</v>
      </c>
      <c r="L371" s="17" t="n">
        <v>0</v>
      </c>
      <c r="M371" s="18" t="n">
        <f aca="false">J371*K371*(1-L371)</f>
        <v>13407.83</v>
      </c>
      <c r="N371" s="18" t="n">
        <f aca="false">J371*IFERROR(INDEX(Calculations!$C$6:$C$27,MATCH(H371,Calculations!$A$6:$A$27,0)),0)</f>
        <v>7200</v>
      </c>
      <c r="O371" s="18" t="n">
        <f aca="false">M371-N371</f>
        <v>6207.83</v>
      </c>
      <c r="P371" s="18" t="n">
        <f aca="false">M371*IFERROR(INDEX(Calculations!$F$6:$F$11,MATCH(I371,Calculations!$E$6:$E$11,0)),0.1)</f>
        <v>1072.6264</v>
      </c>
      <c r="Q371" s="18" t="n">
        <f aca="false">O371-P371</f>
        <v>5135.2036</v>
      </c>
      <c r="R371" s="14" t="s">
        <v>243</v>
      </c>
      <c r="S371" s="14" t="s">
        <v>125</v>
      </c>
    </row>
    <row r="372" customFormat="false" ht="15" hidden="false" customHeight="false" outlineLevel="0" collapsed="false">
      <c r="A372" s="14" t="s">
        <v>890</v>
      </c>
      <c r="B372" s="15" t="n">
        <v>46112</v>
      </c>
      <c r="C372" s="14" t="s">
        <v>891</v>
      </c>
      <c r="D372" s="14" t="s">
        <v>892</v>
      </c>
      <c r="E372" s="14" t="s">
        <v>121</v>
      </c>
      <c r="F372" s="14" t="s">
        <v>129</v>
      </c>
      <c r="G372" s="14" t="s">
        <v>161</v>
      </c>
      <c r="H372" s="14" t="s">
        <v>75</v>
      </c>
      <c r="I372" s="14" t="str">
        <f aca="false">IFERROR(INDEX(Calculations!$B$6:$B$27,MATCH(H372,Calculations!$A$6:$A$27,0)),"Unknown")</f>
        <v>Wearables</v>
      </c>
      <c r="J372" s="14" t="n">
        <v>5</v>
      </c>
      <c r="K372" s="16" t="n">
        <v>3373.66</v>
      </c>
      <c r="L372" s="17" t="n">
        <v>0.1</v>
      </c>
      <c r="M372" s="18" t="n">
        <f aca="false">J372*K372*(1-L372)</f>
        <v>15181.47</v>
      </c>
      <c r="N372" s="18" t="n">
        <f aca="false">J372*IFERROR(INDEX(Calculations!$C$6:$C$27,MATCH(H372,Calculations!$A$6:$A$27,0)),0)</f>
        <v>9500</v>
      </c>
      <c r="O372" s="18" t="n">
        <f aca="false">M372-N372</f>
        <v>5681.47</v>
      </c>
      <c r="P372" s="18" t="n">
        <f aca="false">M372*IFERROR(INDEX(Calculations!$F$6:$F$11,MATCH(I372,Calculations!$E$6:$E$11,0)),0.1)</f>
        <v>1366.3323</v>
      </c>
      <c r="Q372" s="18" t="n">
        <f aca="false">O372-P372</f>
        <v>4315.1377</v>
      </c>
      <c r="R372" s="14" t="s">
        <v>135</v>
      </c>
      <c r="S372" s="14" t="s">
        <v>125</v>
      </c>
    </row>
    <row r="373" customFormat="false" ht="15" hidden="false" customHeight="false" outlineLevel="0" collapsed="false">
      <c r="A373" s="14" t="s">
        <v>893</v>
      </c>
      <c r="B373" s="15" t="n">
        <v>46113</v>
      </c>
      <c r="C373" s="14" t="s">
        <v>455</v>
      </c>
      <c r="D373" s="14" t="s">
        <v>456</v>
      </c>
      <c r="E373" s="14" t="s">
        <v>194</v>
      </c>
      <c r="F373" s="14" t="s">
        <v>195</v>
      </c>
      <c r="G373" s="14" t="s">
        <v>161</v>
      </c>
      <c r="H373" s="14" t="s">
        <v>74</v>
      </c>
      <c r="I373" s="14" t="str">
        <f aca="false">IFERROR(INDEX(Calculations!$B$6:$B$27,MATCH(H373,Calculations!$A$6:$A$27,0)),"Unknown")</f>
        <v>Wearables</v>
      </c>
      <c r="J373" s="14" t="n">
        <v>1</v>
      </c>
      <c r="K373" s="16" t="n">
        <v>6277.7</v>
      </c>
      <c r="L373" s="17" t="n">
        <v>0.2</v>
      </c>
      <c r="M373" s="18" t="n">
        <f aca="false">J373*K373*(1-L373)</f>
        <v>5022.16</v>
      </c>
      <c r="N373" s="18" t="n">
        <f aca="false">J373*IFERROR(INDEX(Calculations!$C$6:$C$27,MATCH(H373,Calculations!$A$6:$A$27,0)),0)</f>
        <v>3800</v>
      </c>
      <c r="O373" s="18" t="n">
        <f aca="false">M373-N373</f>
        <v>1222.16</v>
      </c>
      <c r="P373" s="18" t="n">
        <f aca="false">M373*IFERROR(INDEX(Calculations!$F$6:$F$11,MATCH(I373,Calculations!$E$6:$E$11,0)),0.1)</f>
        <v>451.9944</v>
      </c>
      <c r="Q373" s="18" t="n">
        <f aca="false">O373-P373</f>
        <v>770.1656</v>
      </c>
      <c r="R373" s="14" t="s">
        <v>243</v>
      </c>
      <c r="S373" s="14" t="s">
        <v>125</v>
      </c>
    </row>
    <row r="374" customFormat="false" ht="15" hidden="false" customHeight="false" outlineLevel="0" collapsed="false">
      <c r="A374" s="14" t="s">
        <v>894</v>
      </c>
      <c r="B374" s="15" t="n">
        <v>46113</v>
      </c>
      <c r="C374" s="14" t="s">
        <v>312</v>
      </c>
      <c r="D374" s="14" t="s">
        <v>313</v>
      </c>
      <c r="E374" s="14" t="s">
        <v>121</v>
      </c>
      <c r="F374" s="14" t="s">
        <v>129</v>
      </c>
      <c r="G374" s="14" t="s">
        <v>170</v>
      </c>
      <c r="H374" s="14" t="s">
        <v>66</v>
      </c>
      <c r="I374" s="14" t="str">
        <f aca="false">IFERROR(INDEX(Calculations!$B$6:$B$27,MATCH(H374,Calculations!$A$6:$A$27,0)),"Unknown")</f>
        <v>Computer Peripherals</v>
      </c>
      <c r="J374" s="14" t="n">
        <v>6</v>
      </c>
      <c r="K374" s="16" t="n">
        <v>13041.2</v>
      </c>
      <c r="L374" s="17" t="n">
        <v>0</v>
      </c>
      <c r="M374" s="18" t="n">
        <f aca="false">J374*K374*(1-L374)</f>
        <v>78247.2</v>
      </c>
      <c r="N374" s="18" t="n">
        <f aca="false">J374*IFERROR(INDEX(Calculations!$C$6:$C$27,MATCH(H374,Calculations!$A$6:$A$27,0)),0)</f>
        <v>43200</v>
      </c>
      <c r="O374" s="18" t="n">
        <f aca="false">M374-N374</f>
        <v>35047.2</v>
      </c>
      <c r="P374" s="18" t="n">
        <f aca="false">M374*IFERROR(INDEX(Calculations!$F$6:$F$11,MATCH(I374,Calculations!$E$6:$E$11,0)),0.1)</f>
        <v>6259.776</v>
      </c>
      <c r="Q374" s="18" t="n">
        <f aca="false">O374-P374</f>
        <v>28787.424</v>
      </c>
      <c r="R374" s="14" t="s">
        <v>124</v>
      </c>
      <c r="S374" s="14" t="s">
        <v>148</v>
      </c>
    </row>
    <row r="375" customFormat="false" ht="15" hidden="false" customHeight="false" outlineLevel="0" collapsed="false">
      <c r="A375" s="14" t="s">
        <v>895</v>
      </c>
      <c r="B375" s="15" t="n">
        <v>46114</v>
      </c>
      <c r="C375" s="14" t="s">
        <v>159</v>
      </c>
      <c r="D375" s="14" t="s">
        <v>160</v>
      </c>
      <c r="E375" s="14" t="s">
        <v>156</v>
      </c>
      <c r="F375" s="14" t="s">
        <v>157</v>
      </c>
      <c r="G375" s="14" t="s">
        <v>123</v>
      </c>
      <c r="H375" s="14" t="s">
        <v>69</v>
      </c>
      <c r="I375" s="14" t="str">
        <f aca="false">IFERROR(INDEX(Calculations!$B$6:$B$27,MATCH(H375,Calculations!$A$6:$A$27,0)),"Unknown")</f>
        <v>Smart Home</v>
      </c>
      <c r="J375" s="14" t="n">
        <v>1</v>
      </c>
      <c r="K375" s="16" t="n">
        <v>801.16</v>
      </c>
      <c r="L375" s="17" t="n">
        <v>0.1</v>
      </c>
      <c r="M375" s="18" t="n">
        <f aca="false">J375*K375*(1-L375)</f>
        <v>721.044</v>
      </c>
      <c r="N375" s="18" t="n">
        <f aca="false">J375*IFERROR(INDEX(Calculations!$C$6:$C$27,MATCH(H375,Calculations!$A$6:$A$27,0)),0)</f>
        <v>350</v>
      </c>
      <c r="O375" s="18" t="n">
        <f aca="false">M375-N375</f>
        <v>371.044</v>
      </c>
      <c r="P375" s="18" t="n">
        <f aca="false">M375*IFERROR(INDEX(Calculations!$F$6:$F$11,MATCH(I375,Calculations!$E$6:$E$11,0)),0.1)</f>
        <v>79.31484</v>
      </c>
      <c r="Q375" s="18" t="n">
        <f aca="false">O375-P375</f>
        <v>291.72916</v>
      </c>
      <c r="R375" s="14" t="s">
        <v>243</v>
      </c>
      <c r="S375" s="14" t="s">
        <v>205</v>
      </c>
    </row>
    <row r="376" customFormat="false" ht="15" hidden="false" customHeight="false" outlineLevel="0" collapsed="false">
      <c r="A376" s="14" t="s">
        <v>896</v>
      </c>
      <c r="B376" s="15" t="n">
        <v>46115</v>
      </c>
      <c r="C376" s="14" t="s">
        <v>583</v>
      </c>
      <c r="D376" s="14" t="s">
        <v>584</v>
      </c>
      <c r="E376" s="14" t="s">
        <v>194</v>
      </c>
      <c r="F376" s="14" t="s">
        <v>195</v>
      </c>
      <c r="G376" s="14" t="s">
        <v>141</v>
      </c>
      <c r="H376" s="14" t="s">
        <v>62</v>
      </c>
      <c r="I376" s="14" t="str">
        <f aca="false">IFERROR(INDEX(Calculations!$B$6:$B$27,MATCH(H376,Calculations!$A$6:$A$27,0)),"Unknown")</f>
        <v>Mobile Accessories</v>
      </c>
      <c r="J376" s="14" t="n">
        <v>1</v>
      </c>
      <c r="K376" s="16" t="n">
        <v>346.16</v>
      </c>
      <c r="L376" s="17" t="n">
        <v>0.05</v>
      </c>
      <c r="M376" s="18" t="n">
        <f aca="false">J376*K376*(1-L376)</f>
        <v>328.852</v>
      </c>
      <c r="N376" s="18" t="n">
        <f aca="false">J376*IFERROR(INDEX(Calculations!$C$6:$C$27,MATCH(H376,Calculations!$A$6:$A$27,0)),0)</f>
        <v>130</v>
      </c>
      <c r="O376" s="18" t="n">
        <f aca="false">M376-N376</f>
        <v>198.852</v>
      </c>
      <c r="P376" s="18" t="n">
        <f aca="false">M376*IFERROR(INDEX(Calculations!$F$6:$F$11,MATCH(I376,Calculations!$E$6:$E$11,0)),0.1)</f>
        <v>39.46224</v>
      </c>
      <c r="Q376" s="18" t="n">
        <f aca="false">O376-P376</f>
        <v>159.38976</v>
      </c>
      <c r="R376" s="14" t="s">
        <v>135</v>
      </c>
      <c r="S376" s="14" t="s">
        <v>125</v>
      </c>
    </row>
    <row r="377" customFormat="false" ht="15" hidden="false" customHeight="false" outlineLevel="0" collapsed="false">
      <c r="A377" s="14" t="s">
        <v>897</v>
      </c>
      <c r="B377" s="15" t="n">
        <v>46116</v>
      </c>
      <c r="C377" s="14" t="s">
        <v>189</v>
      </c>
      <c r="D377" s="14" t="s">
        <v>190</v>
      </c>
      <c r="E377" s="14" t="s">
        <v>156</v>
      </c>
      <c r="F377" s="14" t="s">
        <v>169</v>
      </c>
      <c r="G377" s="14" t="s">
        <v>134</v>
      </c>
      <c r="H377" s="14" t="s">
        <v>71</v>
      </c>
      <c r="I377" s="14" t="str">
        <f aca="false">IFERROR(INDEX(Calculations!$B$6:$B$27,MATCH(H377,Calculations!$A$6:$A$27,0)),"Unknown")</f>
        <v>Smart Home</v>
      </c>
      <c r="J377" s="14" t="n">
        <v>1</v>
      </c>
      <c r="K377" s="16" t="n">
        <v>892.58</v>
      </c>
      <c r="L377" s="17" t="n">
        <v>0</v>
      </c>
      <c r="M377" s="18" t="n">
        <f aca="false">J377*K377*(1-L377)</f>
        <v>892.58</v>
      </c>
      <c r="N377" s="18" t="n">
        <f aca="false">J377*IFERROR(INDEX(Calculations!$C$6:$C$27,MATCH(H377,Calculations!$A$6:$A$27,0)),0)</f>
        <v>450</v>
      </c>
      <c r="O377" s="18" t="n">
        <f aca="false">M377-N377</f>
        <v>442.58</v>
      </c>
      <c r="P377" s="18" t="n">
        <f aca="false">M377*IFERROR(INDEX(Calculations!$F$6:$F$11,MATCH(I377,Calculations!$E$6:$E$11,0)),0.1)</f>
        <v>98.1838</v>
      </c>
      <c r="Q377" s="18" t="n">
        <f aca="false">O377-P377</f>
        <v>344.3962</v>
      </c>
      <c r="R377" s="14" t="s">
        <v>135</v>
      </c>
      <c r="S377" s="14" t="s">
        <v>125</v>
      </c>
    </row>
    <row r="378" customFormat="false" ht="15" hidden="false" customHeight="false" outlineLevel="0" collapsed="false">
      <c r="A378" s="14" t="s">
        <v>898</v>
      </c>
      <c r="B378" s="15" t="n">
        <v>46116</v>
      </c>
      <c r="C378" s="14" t="s">
        <v>899</v>
      </c>
      <c r="D378" s="14" t="s">
        <v>900</v>
      </c>
      <c r="E378" s="14" t="s">
        <v>139</v>
      </c>
      <c r="F378" s="14" t="s">
        <v>152</v>
      </c>
      <c r="G378" s="14" t="s">
        <v>147</v>
      </c>
      <c r="H378" s="14" t="s">
        <v>67</v>
      </c>
      <c r="I378" s="14" t="str">
        <f aca="false">IFERROR(INDEX(Calculations!$B$6:$B$27,MATCH(H378,Calculations!$A$6:$A$27,0)),"Unknown")</f>
        <v>Computer Peripherals</v>
      </c>
      <c r="J378" s="14" t="n">
        <v>3</v>
      </c>
      <c r="K378" s="16" t="n">
        <v>1790.63</v>
      </c>
      <c r="L378" s="17" t="n">
        <v>0.05</v>
      </c>
      <c r="M378" s="18" t="n">
        <f aca="false">J378*K378*(1-L378)</f>
        <v>5103.2955</v>
      </c>
      <c r="N378" s="18" t="n">
        <f aca="false">J378*IFERROR(INDEX(Calculations!$C$6:$C$27,MATCH(H378,Calculations!$A$6:$A$27,0)),0)</f>
        <v>2700</v>
      </c>
      <c r="O378" s="18" t="n">
        <f aca="false">M378-N378</f>
        <v>2403.2955</v>
      </c>
      <c r="P378" s="18" t="n">
        <f aca="false">M378*IFERROR(INDEX(Calculations!$F$6:$F$11,MATCH(I378,Calculations!$E$6:$E$11,0)),0.1)</f>
        <v>408.26364</v>
      </c>
      <c r="Q378" s="18" t="n">
        <f aca="false">O378-P378</f>
        <v>1995.03186</v>
      </c>
      <c r="R378" s="14" t="s">
        <v>130</v>
      </c>
      <c r="S378" s="14" t="s">
        <v>125</v>
      </c>
    </row>
    <row r="379" customFormat="false" ht="15" hidden="false" customHeight="false" outlineLevel="0" collapsed="false">
      <c r="A379" s="14" t="s">
        <v>901</v>
      </c>
      <c r="B379" s="15" t="n">
        <v>46117</v>
      </c>
      <c r="C379" s="14" t="s">
        <v>344</v>
      </c>
      <c r="D379" s="14" t="s">
        <v>345</v>
      </c>
      <c r="E379" s="14" t="s">
        <v>145</v>
      </c>
      <c r="F379" s="14" t="s">
        <v>174</v>
      </c>
      <c r="G379" s="14" t="s">
        <v>147</v>
      </c>
      <c r="H379" s="14" t="s">
        <v>75</v>
      </c>
      <c r="I379" s="14" t="str">
        <f aca="false">IFERROR(INDEX(Calculations!$B$6:$B$27,MATCH(H379,Calculations!$A$6:$A$27,0)),"Unknown")</f>
        <v>Wearables</v>
      </c>
      <c r="J379" s="14" t="n">
        <v>5</v>
      </c>
      <c r="K379" s="16" t="n">
        <v>3240.68</v>
      </c>
      <c r="L379" s="17" t="n">
        <v>0</v>
      </c>
      <c r="M379" s="18" t="n">
        <f aca="false">J379*K379*(1-L379)</f>
        <v>16203.4</v>
      </c>
      <c r="N379" s="18" t="n">
        <f aca="false">J379*IFERROR(INDEX(Calculations!$C$6:$C$27,MATCH(H379,Calculations!$A$6:$A$27,0)),0)</f>
        <v>9500</v>
      </c>
      <c r="O379" s="18" t="n">
        <f aca="false">M379-N379</f>
        <v>6703.4</v>
      </c>
      <c r="P379" s="18" t="n">
        <f aca="false">M379*IFERROR(INDEX(Calculations!$F$6:$F$11,MATCH(I379,Calculations!$E$6:$E$11,0)),0.1)</f>
        <v>1458.306</v>
      </c>
      <c r="Q379" s="18" t="n">
        <f aca="false">O379-P379</f>
        <v>5245.094</v>
      </c>
      <c r="R379" s="14" t="s">
        <v>243</v>
      </c>
      <c r="S379" s="14" t="s">
        <v>148</v>
      </c>
    </row>
    <row r="380" customFormat="false" ht="15" hidden="false" customHeight="false" outlineLevel="0" collapsed="false">
      <c r="A380" s="14" t="s">
        <v>902</v>
      </c>
      <c r="B380" s="15" t="n">
        <v>46117</v>
      </c>
      <c r="C380" s="14" t="s">
        <v>903</v>
      </c>
      <c r="D380" s="14" t="s">
        <v>904</v>
      </c>
      <c r="E380" s="14" t="s">
        <v>156</v>
      </c>
      <c r="F380" s="14" t="s">
        <v>157</v>
      </c>
      <c r="G380" s="14" t="s">
        <v>209</v>
      </c>
      <c r="H380" s="14" t="s">
        <v>50</v>
      </c>
      <c r="I380" s="14" t="str">
        <f aca="false">IFERROR(INDEX(Calculations!$B$6:$B$27,MATCH(H380,Calculations!$A$6:$A$27,0)),"Unknown")</f>
        <v>Audio</v>
      </c>
      <c r="J380" s="14" t="n">
        <v>1</v>
      </c>
      <c r="K380" s="16" t="n">
        <v>1342.7</v>
      </c>
      <c r="L380" s="17" t="n">
        <v>0</v>
      </c>
      <c r="M380" s="18" t="n">
        <f aca="false">J380*K380*(1-L380)</f>
        <v>1342.7</v>
      </c>
      <c r="N380" s="18" t="n">
        <f aca="false">J380*IFERROR(INDEX(Calculations!$C$6:$C$27,MATCH(H380,Calculations!$A$6:$A$27,0)),0)</f>
        <v>650</v>
      </c>
      <c r="O380" s="18" t="n">
        <f aca="false">M380-N380</f>
        <v>692.7</v>
      </c>
      <c r="P380" s="18" t="n">
        <f aca="false">M380*IFERROR(INDEX(Calculations!$F$6:$F$11,MATCH(I380,Calculations!$E$6:$E$11,0)),0.1)</f>
        <v>134.27</v>
      </c>
      <c r="Q380" s="18" t="n">
        <f aca="false">O380-P380</f>
        <v>558.43</v>
      </c>
      <c r="R380" s="14" t="s">
        <v>165</v>
      </c>
      <c r="S380" s="14" t="s">
        <v>125</v>
      </c>
    </row>
    <row r="381" customFormat="false" ht="15" hidden="false" customHeight="false" outlineLevel="0" collapsed="false">
      <c r="A381" s="14" t="s">
        <v>905</v>
      </c>
      <c r="B381" s="15" t="n">
        <v>46117</v>
      </c>
      <c r="C381" s="14" t="s">
        <v>378</v>
      </c>
      <c r="D381" s="14" t="s">
        <v>379</v>
      </c>
      <c r="E381" s="14" t="s">
        <v>145</v>
      </c>
      <c r="F381" s="14" t="s">
        <v>146</v>
      </c>
      <c r="G381" s="14" t="s">
        <v>170</v>
      </c>
      <c r="H381" s="14" t="s">
        <v>74</v>
      </c>
      <c r="I381" s="14" t="str">
        <f aca="false">IFERROR(INDEX(Calculations!$B$6:$B$27,MATCH(H381,Calculations!$A$6:$A$27,0)),"Unknown")</f>
        <v>Wearables</v>
      </c>
      <c r="J381" s="14" t="n">
        <v>1</v>
      </c>
      <c r="K381" s="16" t="n">
        <v>6436.48</v>
      </c>
      <c r="L381" s="17" t="n">
        <v>0.05</v>
      </c>
      <c r="M381" s="18" t="n">
        <f aca="false">J381*K381*(1-L381)</f>
        <v>6114.656</v>
      </c>
      <c r="N381" s="18" t="n">
        <f aca="false">J381*IFERROR(INDEX(Calculations!$C$6:$C$27,MATCH(H381,Calculations!$A$6:$A$27,0)),0)</f>
        <v>3800</v>
      </c>
      <c r="O381" s="18" t="n">
        <f aca="false">M381-N381</f>
        <v>2314.656</v>
      </c>
      <c r="P381" s="18" t="n">
        <f aca="false">M381*IFERROR(INDEX(Calculations!$F$6:$F$11,MATCH(I381,Calculations!$E$6:$E$11,0)),0.1)</f>
        <v>550.31904</v>
      </c>
      <c r="Q381" s="18" t="n">
        <f aca="false">O381-P381</f>
        <v>1764.33696</v>
      </c>
      <c r="R381" s="14" t="s">
        <v>130</v>
      </c>
      <c r="S381" s="14" t="s">
        <v>125</v>
      </c>
    </row>
    <row r="382" customFormat="false" ht="15" hidden="false" customHeight="false" outlineLevel="0" collapsed="false">
      <c r="A382" s="14" t="s">
        <v>906</v>
      </c>
      <c r="B382" s="15" t="n">
        <v>46117</v>
      </c>
      <c r="C382" s="14" t="s">
        <v>318</v>
      </c>
      <c r="D382" s="14" t="s">
        <v>319</v>
      </c>
      <c r="E382" s="14" t="s">
        <v>156</v>
      </c>
      <c r="F382" s="14" t="s">
        <v>157</v>
      </c>
      <c r="G382" s="14" t="s">
        <v>170</v>
      </c>
      <c r="H382" s="14" t="s">
        <v>58</v>
      </c>
      <c r="I382" s="14" t="str">
        <f aca="false">IFERROR(INDEX(Calculations!$B$6:$B$27,MATCH(H382,Calculations!$A$6:$A$27,0)),"Unknown")</f>
        <v>Mobile Accessories</v>
      </c>
      <c r="J382" s="14" t="n">
        <v>1</v>
      </c>
      <c r="K382" s="16" t="n">
        <v>495.46</v>
      </c>
      <c r="L382" s="17" t="n">
        <v>0</v>
      </c>
      <c r="M382" s="18" t="n">
        <f aca="false">J382*K382*(1-L382)</f>
        <v>495.46</v>
      </c>
      <c r="N382" s="18" t="n">
        <f aca="false">J382*IFERROR(INDEX(Calculations!$C$6:$C$27,MATCH(H382,Calculations!$A$6:$A$27,0)),0)</f>
        <v>220</v>
      </c>
      <c r="O382" s="18" t="n">
        <f aca="false">M382-N382</f>
        <v>275.46</v>
      </c>
      <c r="P382" s="18" t="n">
        <f aca="false">M382*IFERROR(INDEX(Calculations!$F$6:$F$11,MATCH(I382,Calculations!$E$6:$E$11,0)),0.1)</f>
        <v>59.4552</v>
      </c>
      <c r="Q382" s="18" t="n">
        <f aca="false">O382-P382</f>
        <v>216.0048</v>
      </c>
      <c r="R382" s="14" t="s">
        <v>130</v>
      </c>
      <c r="S382" s="14" t="s">
        <v>125</v>
      </c>
    </row>
    <row r="383" customFormat="false" ht="15" hidden="false" customHeight="false" outlineLevel="0" collapsed="false">
      <c r="A383" s="14" t="s">
        <v>907</v>
      </c>
      <c r="B383" s="15" t="n">
        <v>46117</v>
      </c>
      <c r="C383" s="14" t="s">
        <v>908</v>
      </c>
      <c r="D383" s="14" t="s">
        <v>909</v>
      </c>
      <c r="E383" s="14" t="s">
        <v>156</v>
      </c>
      <c r="F383" s="14" t="s">
        <v>157</v>
      </c>
      <c r="G383" s="14" t="s">
        <v>141</v>
      </c>
      <c r="H383" s="14" t="s">
        <v>58</v>
      </c>
      <c r="I383" s="14" t="str">
        <f aca="false">IFERROR(INDEX(Calculations!$B$6:$B$27,MATCH(H383,Calculations!$A$6:$A$27,0)),"Unknown")</f>
        <v>Mobile Accessories</v>
      </c>
      <c r="J383" s="14" t="n">
        <v>1</v>
      </c>
      <c r="K383" s="16" t="n">
        <v>509.44</v>
      </c>
      <c r="L383" s="17" t="n">
        <v>0</v>
      </c>
      <c r="M383" s="18" t="n">
        <f aca="false">J383*K383*(1-L383)</f>
        <v>509.44</v>
      </c>
      <c r="N383" s="18" t="n">
        <f aca="false">J383*IFERROR(INDEX(Calculations!$C$6:$C$27,MATCH(H383,Calculations!$A$6:$A$27,0)),0)</f>
        <v>220</v>
      </c>
      <c r="O383" s="18" t="n">
        <f aca="false">M383-N383</f>
        <v>289.44</v>
      </c>
      <c r="P383" s="18" t="n">
        <f aca="false">M383*IFERROR(INDEX(Calculations!$F$6:$F$11,MATCH(I383,Calculations!$E$6:$E$11,0)),0.1)</f>
        <v>61.1328</v>
      </c>
      <c r="Q383" s="18" t="n">
        <f aca="false">O383-P383</f>
        <v>228.3072</v>
      </c>
      <c r="R383" s="14" t="s">
        <v>130</v>
      </c>
      <c r="S383" s="14" t="s">
        <v>125</v>
      </c>
    </row>
    <row r="384" customFormat="false" ht="15" hidden="false" customHeight="false" outlineLevel="0" collapsed="false">
      <c r="A384" s="14" t="s">
        <v>910</v>
      </c>
      <c r="B384" s="15" t="n">
        <v>46117</v>
      </c>
      <c r="C384" s="14" t="s">
        <v>911</v>
      </c>
      <c r="D384" s="14" t="s">
        <v>912</v>
      </c>
      <c r="E384" s="14" t="s">
        <v>121</v>
      </c>
      <c r="F384" s="14" t="s">
        <v>122</v>
      </c>
      <c r="G384" s="14" t="s">
        <v>134</v>
      </c>
      <c r="H384" s="14" t="s">
        <v>73</v>
      </c>
      <c r="I384" s="14" t="str">
        <f aca="false">IFERROR(INDEX(Calculations!$B$6:$B$27,MATCH(H384,Calculations!$A$6:$A$27,0)),"Unknown")</f>
        <v>Wearables</v>
      </c>
      <c r="J384" s="14" t="n">
        <v>2</v>
      </c>
      <c r="K384" s="16" t="n">
        <v>2007.78</v>
      </c>
      <c r="L384" s="17" t="n">
        <v>0</v>
      </c>
      <c r="M384" s="18" t="n">
        <f aca="false">J384*K384*(1-L384)</f>
        <v>4015.56</v>
      </c>
      <c r="N384" s="18" t="n">
        <f aca="false">J384*IFERROR(INDEX(Calculations!$C$6:$C$27,MATCH(H384,Calculations!$A$6:$A$27,0)),0)</f>
        <v>2200</v>
      </c>
      <c r="O384" s="18" t="n">
        <f aca="false">M384-N384</f>
        <v>1815.56</v>
      </c>
      <c r="P384" s="18" t="n">
        <f aca="false">M384*IFERROR(INDEX(Calculations!$F$6:$F$11,MATCH(I384,Calculations!$E$6:$E$11,0)),0.1)</f>
        <v>361.4004</v>
      </c>
      <c r="Q384" s="18" t="n">
        <f aca="false">O384-P384</f>
        <v>1454.1596</v>
      </c>
      <c r="R384" s="14" t="s">
        <v>130</v>
      </c>
      <c r="S384" s="14" t="s">
        <v>125</v>
      </c>
    </row>
    <row r="385" customFormat="false" ht="15" hidden="false" customHeight="false" outlineLevel="0" collapsed="false">
      <c r="A385" s="14" t="s">
        <v>913</v>
      </c>
      <c r="B385" s="15" t="n">
        <v>46118</v>
      </c>
      <c r="C385" s="14" t="s">
        <v>726</v>
      </c>
      <c r="D385" s="14" t="s">
        <v>727</v>
      </c>
      <c r="E385" s="14" t="s">
        <v>156</v>
      </c>
      <c r="F385" s="14" t="s">
        <v>157</v>
      </c>
      <c r="G385" s="14" t="s">
        <v>134</v>
      </c>
      <c r="H385" s="14" t="s">
        <v>50</v>
      </c>
      <c r="I385" s="14" t="str">
        <f aca="false">IFERROR(INDEX(Calculations!$B$6:$B$27,MATCH(H385,Calculations!$A$6:$A$27,0)),"Unknown")</f>
        <v>Audio</v>
      </c>
      <c r="J385" s="14" t="n">
        <v>1</v>
      </c>
      <c r="K385" s="16" t="n">
        <v>1286.94</v>
      </c>
      <c r="L385" s="17" t="n">
        <v>0.05</v>
      </c>
      <c r="M385" s="18" t="n">
        <f aca="false">J385*K385*(1-L385)</f>
        <v>1222.593</v>
      </c>
      <c r="N385" s="18" t="n">
        <f aca="false">J385*IFERROR(INDEX(Calculations!$C$6:$C$27,MATCH(H385,Calculations!$A$6:$A$27,0)),0)</f>
        <v>650</v>
      </c>
      <c r="O385" s="18" t="n">
        <f aca="false">M385-N385</f>
        <v>572.593</v>
      </c>
      <c r="P385" s="18" t="n">
        <f aca="false">M385*IFERROR(INDEX(Calculations!$F$6:$F$11,MATCH(I385,Calculations!$E$6:$E$11,0)),0.1)</f>
        <v>122.2593</v>
      </c>
      <c r="Q385" s="18" t="n">
        <f aca="false">O385-P385</f>
        <v>450.3337</v>
      </c>
      <c r="R385" s="14" t="s">
        <v>135</v>
      </c>
      <c r="S385" s="14" t="s">
        <v>125</v>
      </c>
    </row>
    <row r="386" customFormat="false" ht="15" hidden="false" customHeight="false" outlineLevel="0" collapsed="false">
      <c r="A386" s="14" t="s">
        <v>914</v>
      </c>
      <c r="B386" s="15" t="n">
        <v>46119</v>
      </c>
      <c r="C386" s="14" t="s">
        <v>614</v>
      </c>
      <c r="D386" s="14" t="s">
        <v>615</v>
      </c>
      <c r="E386" s="14" t="s">
        <v>194</v>
      </c>
      <c r="F386" s="14" t="s">
        <v>195</v>
      </c>
      <c r="G386" s="14" t="s">
        <v>175</v>
      </c>
      <c r="H386" s="14" t="s">
        <v>76</v>
      </c>
      <c r="I386" s="14" t="str">
        <f aca="false">IFERROR(INDEX(Calculations!$B$6:$B$27,MATCH(H386,Calculations!$A$6:$A$27,0)),"Unknown")</f>
        <v>Cameras</v>
      </c>
      <c r="J386" s="14" t="n">
        <v>2</v>
      </c>
      <c r="K386" s="16" t="n">
        <v>7339.88</v>
      </c>
      <c r="L386" s="17" t="n">
        <v>0.1</v>
      </c>
      <c r="M386" s="18" t="n">
        <f aca="false">J386*K386*(1-L386)</f>
        <v>13211.784</v>
      </c>
      <c r="N386" s="18" t="n">
        <f aca="false">J386*IFERROR(INDEX(Calculations!$C$6:$C$27,MATCH(H386,Calculations!$A$6:$A$27,0)),0)</f>
        <v>8400</v>
      </c>
      <c r="O386" s="18" t="n">
        <f aca="false">M386-N386</f>
        <v>4811.784</v>
      </c>
      <c r="P386" s="18" t="n">
        <f aca="false">M386*IFERROR(INDEX(Calculations!$F$6:$F$11,MATCH(I386,Calculations!$E$6:$E$11,0)),0.1)</f>
        <v>990.8838</v>
      </c>
      <c r="Q386" s="18" t="n">
        <f aca="false">O386-P386</f>
        <v>3820.9002</v>
      </c>
      <c r="R386" s="14" t="s">
        <v>130</v>
      </c>
      <c r="S386" s="14" t="s">
        <v>125</v>
      </c>
    </row>
    <row r="387" customFormat="false" ht="15" hidden="false" customHeight="false" outlineLevel="0" collapsed="false">
      <c r="A387" s="14" t="s">
        <v>915</v>
      </c>
      <c r="B387" s="15" t="n">
        <v>46119</v>
      </c>
      <c r="C387" s="14" t="s">
        <v>270</v>
      </c>
      <c r="D387" s="14" t="s">
        <v>271</v>
      </c>
      <c r="E387" s="14" t="s">
        <v>145</v>
      </c>
      <c r="F387" s="14" t="s">
        <v>174</v>
      </c>
      <c r="G387" s="14" t="s">
        <v>170</v>
      </c>
      <c r="H387" s="14" t="s">
        <v>67</v>
      </c>
      <c r="I387" s="14" t="str">
        <f aca="false">IFERROR(INDEX(Calculations!$B$6:$B$27,MATCH(H387,Calculations!$A$6:$A$27,0)),"Unknown")</f>
        <v>Computer Peripherals</v>
      </c>
      <c r="J387" s="14" t="n">
        <v>4</v>
      </c>
      <c r="K387" s="16" t="n">
        <v>1727.99</v>
      </c>
      <c r="L387" s="17" t="n">
        <v>0.15</v>
      </c>
      <c r="M387" s="18" t="n">
        <f aca="false">J387*K387*(1-L387)</f>
        <v>5875.166</v>
      </c>
      <c r="N387" s="18" t="n">
        <f aca="false">J387*IFERROR(INDEX(Calculations!$C$6:$C$27,MATCH(H387,Calculations!$A$6:$A$27,0)),0)</f>
        <v>3600</v>
      </c>
      <c r="O387" s="18" t="n">
        <f aca="false">M387-N387</f>
        <v>2275.166</v>
      </c>
      <c r="P387" s="18" t="n">
        <f aca="false">M387*IFERROR(INDEX(Calculations!$F$6:$F$11,MATCH(I387,Calculations!$E$6:$E$11,0)),0.1)</f>
        <v>470.01328</v>
      </c>
      <c r="Q387" s="18" t="n">
        <f aca="false">O387-P387</f>
        <v>1805.15272</v>
      </c>
      <c r="R387" s="14" t="s">
        <v>124</v>
      </c>
      <c r="S387" s="14" t="s">
        <v>125</v>
      </c>
    </row>
    <row r="388" customFormat="false" ht="15" hidden="false" customHeight="false" outlineLevel="0" collapsed="false">
      <c r="A388" s="14" t="s">
        <v>916</v>
      </c>
      <c r="B388" s="15" t="n">
        <v>46119</v>
      </c>
      <c r="C388" s="14" t="s">
        <v>254</v>
      </c>
      <c r="D388" s="14" t="s">
        <v>255</v>
      </c>
      <c r="E388" s="14" t="s">
        <v>156</v>
      </c>
      <c r="F388" s="14" t="s">
        <v>169</v>
      </c>
      <c r="G388" s="14" t="s">
        <v>123</v>
      </c>
      <c r="H388" s="14" t="s">
        <v>58</v>
      </c>
      <c r="I388" s="14" t="str">
        <f aca="false">IFERROR(INDEX(Calculations!$B$6:$B$27,MATCH(H388,Calculations!$A$6:$A$27,0)),"Unknown")</f>
        <v>Mobile Accessories</v>
      </c>
      <c r="J388" s="14" t="n">
        <v>6</v>
      </c>
      <c r="K388" s="16" t="n">
        <v>484.46</v>
      </c>
      <c r="L388" s="17" t="n">
        <v>0</v>
      </c>
      <c r="M388" s="18" t="n">
        <f aca="false">J388*K388*(1-L388)</f>
        <v>2906.76</v>
      </c>
      <c r="N388" s="18" t="n">
        <f aca="false">J388*IFERROR(INDEX(Calculations!$C$6:$C$27,MATCH(H388,Calculations!$A$6:$A$27,0)),0)</f>
        <v>1320</v>
      </c>
      <c r="O388" s="18" t="n">
        <f aca="false">M388-N388</f>
        <v>1586.76</v>
      </c>
      <c r="P388" s="18" t="n">
        <f aca="false">M388*IFERROR(INDEX(Calculations!$F$6:$F$11,MATCH(I388,Calculations!$E$6:$E$11,0)),0.1)</f>
        <v>348.8112</v>
      </c>
      <c r="Q388" s="18" t="n">
        <f aca="false">O388-P388</f>
        <v>1237.9488</v>
      </c>
      <c r="R388" s="14" t="s">
        <v>165</v>
      </c>
      <c r="S388" s="14" t="s">
        <v>205</v>
      </c>
    </row>
    <row r="389" customFormat="false" ht="15" hidden="false" customHeight="false" outlineLevel="0" collapsed="false">
      <c r="A389" s="14" t="s">
        <v>917</v>
      </c>
      <c r="B389" s="15" t="n">
        <v>46120</v>
      </c>
      <c r="C389" s="14" t="s">
        <v>531</v>
      </c>
      <c r="D389" s="14" t="s">
        <v>532</v>
      </c>
      <c r="E389" s="14" t="s">
        <v>194</v>
      </c>
      <c r="F389" s="14" t="s">
        <v>195</v>
      </c>
      <c r="G389" s="14" t="s">
        <v>141</v>
      </c>
      <c r="H389" s="14" t="s">
        <v>75</v>
      </c>
      <c r="I389" s="14" t="str">
        <f aca="false">IFERROR(INDEX(Calculations!$B$6:$B$27,MATCH(H389,Calculations!$A$6:$A$27,0)),"Unknown")</f>
        <v>Wearables</v>
      </c>
      <c r="J389" s="14" t="n">
        <v>4</v>
      </c>
      <c r="K389" s="16" t="n">
        <v>3401.29</v>
      </c>
      <c r="L389" s="17" t="n">
        <v>0.05</v>
      </c>
      <c r="M389" s="18" t="n">
        <f aca="false">J389*K389*(1-L389)</f>
        <v>12924.902</v>
      </c>
      <c r="N389" s="18" t="n">
        <f aca="false">J389*IFERROR(INDEX(Calculations!$C$6:$C$27,MATCH(H389,Calculations!$A$6:$A$27,0)),0)</f>
        <v>7600</v>
      </c>
      <c r="O389" s="18" t="n">
        <f aca="false">M389-N389</f>
        <v>5324.902</v>
      </c>
      <c r="P389" s="18" t="n">
        <f aca="false">M389*IFERROR(INDEX(Calculations!$F$6:$F$11,MATCH(I389,Calculations!$E$6:$E$11,0)),0.1)</f>
        <v>1163.24118</v>
      </c>
      <c r="Q389" s="18" t="n">
        <f aca="false">O389-P389</f>
        <v>4161.66082</v>
      </c>
      <c r="R389" s="14" t="s">
        <v>165</v>
      </c>
      <c r="S389" s="14" t="s">
        <v>125</v>
      </c>
    </row>
    <row r="390" customFormat="false" ht="15" hidden="false" customHeight="false" outlineLevel="0" collapsed="false">
      <c r="A390" s="14" t="s">
        <v>918</v>
      </c>
      <c r="B390" s="15" t="n">
        <v>46121</v>
      </c>
      <c r="C390" s="14" t="s">
        <v>349</v>
      </c>
      <c r="D390" s="14" t="s">
        <v>350</v>
      </c>
      <c r="E390" s="14" t="s">
        <v>139</v>
      </c>
      <c r="F390" s="14" t="s">
        <v>152</v>
      </c>
      <c r="G390" s="14" t="s">
        <v>170</v>
      </c>
      <c r="H390" s="14" t="s">
        <v>56</v>
      </c>
      <c r="I390" s="14" t="str">
        <f aca="false">IFERROR(INDEX(Calculations!$B$6:$B$27,MATCH(H390,Calculations!$A$6:$A$27,0)),"Unknown")</f>
        <v>Audio</v>
      </c>
      <c r="J390" s="14" t="n">
        <v>1</v>
      </c>
      <c r="K390" s="16" t="n">
        <v>868.85</v>
      </c>
      <c r="L390" s="17" t="n">
        <v>0.1</v>
      </c>
      <c r="M390" s="18" t="n">
        <f aca="false">J390*K390*(1-L390)</f>
        <v>781.965</v>
      </c>
      <c r="N390" s="18" t="n">
        <f aca="false">J390*IFERROR(INDEX(Calculations!$C$6:$C$27,MATCH(H390,Calculations!$A$6:$A$27,0)),0)</f>
        <v>450</v>
      </c>
      <c r="O390" s="18" t="n">
        <f aca="false">M390-N390</f>
        <v>331.965</v>
      </c>
      <c r="P390" s="18" t="n">
        <f aca="false">M390*IFERROR(INDEX(Calculations!$F$6:$F$11,MATCH(I390,Calculations!$E$6:$E$11,0)),0.1)</f>
        <v>78.1965</v>
      </c>
      <c r="Q390" s="18" t="n">
        <f aca="false">O390-P390</f>
        <v>253.7685</v>
      </c>
      <c r="R390" s="14" t="s">
        <v>130</v>
      </c>
      <c r="S390" s="14" t="s">
        <v>125</v>
      </c>
    </row>
    <row r="391" customFormat="false" ht="15" hidden="false" customHeight="false" outlineLevel="0" collapsed="false">
      <c r="A391" s="14" t="s">
        <v>919</v>
      </c>
      <c r="B391" s="15" t="n">
        <v>46122</v>
      </c>
      <c r="C391" s="14" t="s">
        <v>656</v>
      </c>
      <c r="D391" s="14" t="s">
        <v>657</v>
      </c>
      <c r="E391" s="14" t="s">
        <v>121</v>
      </c>
      <c r="F391" s="14" t="s">
        <v>122</v>
      </c>
      <c r="G391" s="14" t="s">
        <v>161</v>
      </c>
      <c r="H391" s="14" t="s">
        <v>66</v>
      </c>
      <c r="I391" s="14" t="str">
        <f aca="false">IFERROR(INDEX(Calculations!$B$6:$B$27,MATCH(H391,Calculations!$A$6:$A$27,0)),"Unknown")</f>
        <v>Computer Peripherals</v>
      </c>
      <c r="J391" s="14" t="n">
        <v>2</v>
      </c>
      <c r="K391" s="16" t="n">
        <v>13502.73</v>
      </c>
      <c r="L391" s="17" t="n">
        <v>0.15</v>
      </c>
      <c r="M391" s="18" t="n">
        <f aca="false">J391*K391*(1-L391)</f>
        <v>22954.641</v>
      </c>
      <c r="N391" s="18" t="n">
        <f aca="false">J391*IFERROR(INDEX(Calculations!$C$6:$C$27,MATCH(H391,Calculations!$A$6:$A$27,0)),0)</f>
        <v>14400</v>
      </c>
      <c r="O391" s="18" t="n">
        <f aca="false">M391-N391</f>
        <v>8554.641</v>
      </c>
      <c r="P391" s="18" t="n">
        <f aca="false">M391*IFERROR(INDEX(Calculations!$F$6:$F$11,MATCH(I391,Calculations!$E$6:$E$11,0)),0.1)</f>
        <v>1836.37128</v>
      </c>
      <c r="Q391" s="18" t="n">
        <f aca="false">O391-P391</f>
        <v>6718.26972</v>
      </c>
      <c r="R391" s="14" t="s">
        <v>130</v>
      </c>
      <c r="S391" s="14" t="s">
        <v>125</v>
      </c>
    </row>
    <row r="392" customFormat="false" ht="15" hidden="false" customHeight="false" outlineLevel="0" collapsed="false">
      <c r="A392" s="14" t="s">
        <v>920</v>
      </c>
      <c r="B392" s="15" t="n">
        <v>46122</v>
      </c>
      <c r="C392" s="14" t="s">
        <v>537</v>
      </c>
      <c r="D392" s="14" t="s">
        <v>538</v>
      </c>
      <c r="E392" s="14" t="s">
        <v>156</v>
      </c>
      <c r="F392" s="14" t="s">
        <v>169</v>
      </c>
      <c r="G392" s="14" t="s">
        <v>147</v>
      </c>
      <c r="H392" s="14" t="s">
        <v>75</v>
      </c>
      <c r="I392" s="14" t="str">
        <f aca="false">IFERROR(INDEX(Calculations!$B$6:$B$27,MATCH(H392,Calculations!$A$6:$A$27,0)),"Unknown")</f>
        <v>Wearables</v>
      </c>
      <c r="J392" s="14" t="n">
        <v>1</v>
      </c>
      <c r="K392" s="16" t="n">
        <v>3341.09</v>
      </c>
      <c r="L392" s="17" t="n">
        <v>0.05</v>
      </c>
      <c r="M392" s="18" t="n">
        <f aca="false">J392*K392*(1-L392)</f>
        <v>3174.0355</v>
      </c>
      <c r="N392" s="18" t="n">
        <f aca="false">J392*IFERROR(INDEX(Calculations!$C$6:$C$27,MATCH(H392,Calculations!$A$6:$A$27,0)),0)</f>
        <v>1900</v>
      </c>
      <c r="O392" s="18" t="n">
        <f aca="false">M392-N392</f>
        <v>1274.0355</v>
      </c>
      <c r="P392" s="18" t="n">
        <f aca="false">M392*IFERROR(INDEX(Calculations!$F$6:$F$11,MATCH(I392,Calculations!$E$6:$E$11,0)),0.1)</f>
        <v>285.663195</v>
      </c>
      <c r="Q392" s="18" t="n">
        <f aca="false">O392-P392</f>
        <v>988.372305</v>
      </c>
      <c r="R392" s="14" t="s">
        <v>124</v>
      </c>
      <c r="S392" s="14" t="s">
        <v>125</v>
      </c>
    </row>
    <row r="393" customFormat="false" ht="15" hidden="false" customHeight="false" outlineLevel="0" collapsed="false">
      <c r="A393" s="14" t="s">
        <v>921</v>
      </c>
      <c r="B393" s="15" t="n">
        <v>46124</v>
      </c>
      <c r="C393" s="14" t="s">
        <v>236</v>
      </c>
      <c r="D393" s="14" t="s">
        <v>237</v>
      </c>
      <c r="E393" s="14" t="s">
        <v>145</v>
      </c>
      <c r="F393" s="14" t="s">
        <v>174</v>
      </c>
      <c r="G393" s="14" t="s">
        <v>170</v>
      </c>
      <c r="H393" s="14" t="s">
        <v>54</v>
      </c>
      <c r="I393" s="14" t="str">
        <f aca="false">IFERROR(INDEX(Calculations!$B$6:$B$27,MATCH(H393,Calculations!$A$6:$A$27,0)),"Unknown")</f>
        <v>Audio</v>
      </c>
      <c r="J393" s="14" t="n">
        <v>2</v>
      </c>
      <c r="K393" s="16" t="n">
        <v>2699.45</v>
      </c>
      <c r="L393" s="17" t="n">
        <v>0.15</v>
      </c>
      <c r="M393" s="18" t="n">
        <f aca="false">J393*K393*(1-L393)</f>
        <v>4589.065</v>
      </c>
      <c r="N393" s="18" t="n">
        <f aca="false">J393*IFERROR(INDEX(Calculations!$C$6:$C$27,MATCH(H393,Calculations!$A$6:$A$27,0)),0)</f>
        <v>2800</v>
      </c>
      <c r="O393" s="18" t="n">
        <f aca="false">M393-N393</f>
        <v>1789.065</v>
      </c>
      <c r="P393" s="18" t="n">
        <f aca="false">M393*IFERROR(INDEX(Calculations!$F$6:$F$11,MATCH(I393,Calculations!$E$6:$E$11,0)),0.1)</f>
        <v>458.9065</v>
      </c>
      <c r="Q393" s="18" t="n">
        <f aca="false">O393-P393</f>
        <v>1330.1585</v>
      </c>
      <c r="R393" s="14" t="s">
        <v>130</v>
      </c>
      <c r="S393" s="14" t="s">
        <v>125</v>
      </c>
    </row>
    <row r="394" customFormat="false" ht="15" hidden="false" customHeight="false" outlineLevel="0" collapsed="false">
      <c r="A394" s="14" t="s">
        <v>922</v>
      </c>
      <c r="B394" s="15" t="n">
        <v>46127</v>
      </c>
      <c r="C394" s="14" t="s">
        <v>778</v>
      </c>
      <c r="D394" s="14" t="s">
        <v>779</v>
      </c>
      <c r="E394" s="14" t="s">
        <v>194</v>
      </c>
      <c r="F394" s="14" t="s">
        <v>195</v>
      </c>
      <c r="G394" s="14" t="s">
        <v>175</v>
      </c>
      <c r="H394" s="14" t="s">
        <v>69</v>
      </c>
      <c r="I394" s="14" t="str">
        <f aca="false">IFERROR(INDEX(Calculations!$B$6:$B$27,MATCH(H394,Calculations!$A$6:$A$27,0)),"Unknown")</f>
        <v>Smart Home</v>
      </c>
      <c r="J394" s="14" t="n">
        <v>4</v>
      </c>
      <c r="K394" s="16" t="n">
        <v>800.16</v>
      </c>
      <c r="L394" s="17" t="n">
        <v>0.05</v>
      </c>
      <c r="M394" s="18" t="n">
        <f aca="false">J394*K394*(1-L394)</f>
        <v>3040.608</v>
      </c>
      <c r="N394" s="18" t="n">
        <f aca="false">J394*IFERROR(INDEX(Calculations!$C$6:$C$27,MATCH(H394,Calculations!$A$6:$A$27,0)),0)</f>
        <v>1400</v>
      </c>
      <c r="O394" s="18" t="n">
        <f aca="false">M394-N394</f>
        <v>1640.608</v>
      </c>
      <c r="P394" s="18" t="n">
        <f aca="false">M394*IFERROR(INDEX(Calculations!$F$6:$F$11,MATCH(I394,Calculations!$E$6:$E$11,0)),0.1)</f>
        <v>334.46688</v>
      </c>
      <c r="Q394" s="18" t="n">
        <f aca="false">O394-P394</f>
        <v>1306.14112</v>
      </c>
      <c r="R394" s="14" t="s">
        <v>130</v>
      </c>
      <c r="S394" s="14" t="s">
        <v>148</v>
      </c>
    </row>
    <row r="395" customFormat="false" ht="15" hidden="false" customHeight="false" outlineLevel="0" collapsed="false">
      <c r="A395" s="14" t="s">
        <v>923</v>
      </c>
      <c r="B395" s="15" t="n">
        <v>46127</v>
      </c>
      <c r="C395" s="14" t="s">
        <v>159</v>
      </c>
      <c r="D395" s="14" t="s">
        <v>160</v>
      </c>
      <c r="E395" s="14" t="s">
        <v>156</v>
      </c>
      <c r="F395" s="14" t="s">
        <v>157</v>
      </c>
      <c r="G395" s="14" t="s">
        <v>161</v>
      </c>
      <c r="H395" s="14" t="s">
        <v>77</v>
      </c>
      <c r="I395" s="14" t="str">
        <f aca="false">IFERROR(INDEX(Calculations!$B$6:$B$27,MATCH(H395,Calculations!$A$6:$A$27,0)),"Unknown")</f>
        <v>Cameras</v>
      </c>
      <c r="J395" s="14" t="n">
        <v>3</v>
      </c>
      <c r="K395" s="16" t="n">
        <v>5560.02</v>
      </c>
      <c r="L395" s="17" t="n">
        <v>0.2</v>
      </c>
      <c r="M395" s="18" t="n">
        <f aca="false">J395*K395*(1-L395)</f>
        <v>13344.048</v>
      </c>
      <c r="N395" s="18" t="n">
        <f aca="false">J395*IFERROR(INDEX(Calculations!$C$6:$C$27,MATCH(H395,Calculations!$A$6:$A$27,0)),0)</f>
        <v>9300</v>
      </c>
      <c r="O395" s="18" t="n">
        <f aca="false">M395-N395</f>
        <v>4044.048</v>
      </c>
      <c r="P395" s="18" t="n">
        <f aca="false">M395*IFERROR(INDEX(Calculations!$F$6:$F$11,MATCH(I395,Calculations!$E$6:$E$11,0)),0.1)</f>
        <v>1000.8036</v>
      </c>
      <c r="Q395" s="18" t="n">
        <f aca="false">O395-P395</f>
        <v>3043.2444</v>
      </c>
      <c r="R395" s="14" t="s">
        <v>124</v>
      </c>
      <c r="S395" s="14" t="s">
        <v>125</v>
      </c>
    </row>
    <row r="396" customFormat="false" ht="15" hidden="false" customHeight="false" outlineLevel="0" collapsed="false">
      <c r="A396" s="14" t="s">
        <v>924</v>
      </c>
      <c r="B396" s="15" t="n">
        <v>46128</v>
      </c>
      <c r="C396" s="14" t="s">
        <v>189</v>
      </c>
      <c r="D396" s="14" t="s">
        <v>190</v>
      </c>
      <c r="E396" s="14" t="s">
        <v>156</v>
      </c>
      <c r="F396" s="14" t="s">
        <v>169</v>
      </c>
      <c r="G396" s="14" t="s">
        <v>123</v>
      </c>
      <c r="H396" s="14" t="s">
        <v>66</v>
      </c>
      <c r="I396" s="14" t="str">
        <f aca="false">IFERROR(INDEX(Calculations!$B$6:$B$27,MATCH(H396,Calculations!$A$6:$A$27,0)),"Unknown")</f>
        <v>Computer Peripherals</v>
      </c>
      <c r="J396" s="14" t="n">
        <v>2</v>
      </c>
      <c r="K396" s="16" t="n">
        <v>13112.34</v>
      </c>
      <c r="L396" s="17" t="n">
        <v>0.1</v>
      </c>
      <c r="M396" s="18" t="n">
        <f aca="false">J396*K396*(1-L396)</f>
        <v>23602.212</v>
      </c>
      <c r="N396" s="18" t="n">
        <f aca="false">J396*IFERROR(INDEX(Calculations!$C$6:$C$27,MATCH(H396,Calculations!$A$6:$A$27,0)),0)</f>
        <v>14400</v>
      </c>
      <c r="O396" s="18" t="n">
        <f aca="false">M396-N396</f>
        <v>9202.212</v>
      </c>
      <c r="P396" s="18" t="n">
        <f aca="false">M396*IFERROR(INDEX(Calculations!$F$6:$F$11,MATCH(I396,Calculations!$E$6:$E$11,0)),0.1)</f>
        <v>1888.17696</v>
      </c>
      <c r="Q396" s="18" t="n">
        <f aca="false">O396-P396</f>
        <v>7314.03504</v>
      </c>
      <c r="R396" s="14" t="s">
        <v>130</v>
      </c>
      <c r="S396" s="14" t="s">
        <v>125</v>
      </c>
    </row>
    <row r="397" customFormat="false" ht="15" hidden="false" customHeight="false" outlineLevel="0" collapsed="false">
      <c r="A397" s="14" t="s">
        <v>925</v>
      </c>
      <c r="B397" s="15" t="n">
        <v>46130</v>
      </c>
      <c r="C397" s="14" t="s">
        <v>683</v>
      </c>
      <c r="D397" s="14" t="s">
        <v>684</v>
      </c>
      <c r="E397" s="14" t="s">
        <v>156</v>
      </c>
      <c r="F397" s="14" t="s">
        <v>169</v>
      </c>
      <c r="G397" s="14" t="s">
        <v>147</v>
      </c>
      <c r="H397" s="14" t="s">
        <v>75</v>
      </c>
      <c r="I397" s="14" t="str">
        <f aca="false">IFERROR(INDEX(Calculations!$B$6:$B$27,MATCH(H397,Calculations!$A$6:$A$27,0)),"Unknown")</f>
        <v>Wearables</v>
      </c>
      <c r="J397" s="14" t="n">
        <v>3</v>
      </c>
      <c r="K397" s="16" t="n">
        <v>3245.04</v>
      </c>
      <c r="L397" s="17" t="n">
        <v>0</v>
      </c>
      <c r="M397" s="18" t="n">
        <f aca="false">J397*K397*(1-L397)</f>
        <v>9735.12</v>
      </c>
      <c r="N397" s="18" t="n">
        <f aca="false">J397*IFERROR(INDEX(Calculations!$C$6:$C$27,MATCH(H397,Calculations!$A$6:$A$27,0)),0)</f>
        <v>5700</v>
      </c>
      <c r="O397" s="18" t="n">
        <f aca="false">M397-N397</f>
        <v>4035.12</v>
      </c>
      <c r="P397" s="18" t="n">
        <f aca="false">M397*IFERROR(INDEX(Calculations!$F$6:$F$11,MATCH(I397,Calculations!$E$6:$E$11,0)),0.1)</f>
        <v>876.1608</v>
      </c>
      <c r="Q397" s="18" t="n">
        <f aca="false">O397-P397</f>
        <v>3158.9592</v>
      </c>
      <c r="R397" s="14" t="s">
        <v>243</v>
      </c>
      <c r="S397" s="14" t="s">
        <v>148</v>
      </c>
    </row>
    <row r="398" customFormat="false" ht="15" hidden="false" customHeight="false" outlineLevel="0" collapsed="false">
      <c r="A398" s="14" t="s">
        <v>926</v>
      </c>
      <c r="B398" s="15" t="n">
        <v>46130</v>
      </c>
      <c r="C398" s="14" t="s">
        <v>183</v>
      </c>
      <c r="D398" s="14" t="s">
        <v>184</v>
      </c>
      <c r="E398" s="14" t="s">
        <v>121</v>
      </c>
      <c r="F398" s="14" t="s">
        <v>122</v>
      </c>
      <c r="G398" s="14" t="s">
        <v>134</v>
      </c>
      <c r="H398" s="14" t="s">
        <v>71</v>
      </c>
      <c r="I398" s="14" t="str">
        <f aca="false">IFERROR(INDEX(Calculations!$B$6:$B$27,MATCH(H398,Calculations!$A$6:$A$27,0)),"Unknown")</f>
        <v>Smart Home</v>
      </c>
      <c r="J398" s="14" t="n">
        <v>3</v>
      </c>
      <c r="K398" s="16" t="n">
        <v>875.53</v>
      </c>
      <c r="L398" s="17" t="n">
        <v>0.15</v>
      </c>
      <c r="M398" s="18" t="n">
        <f aca="false">J398*K398*(1-L398)</f>
        <v>2232.6015</v>
      </c>
      <c r="N398" s="18" t="n">
        <f aca="false">J398*IFERROR(INDEX(Calculations!$C$6:$C$27,MATCH(H398,Calculations!$A$6:$A$27,0)),0)</f>
        <v>1350</v>
      </c>
      <c r="O398" s="18" t="n">
        <f aca="false">M398-N398</f>
        <v>882.6015</v>
      </c>
      <c r="P398" s="18" t="n">
        <f aca="false">M398*IFERROR(INDEX(Calculations!$F$6:$F$11,MATCH(I398,Calculations!$E$6:$E$11,0)),0.1)</f>
        <v>245.586165</v>
      </c>
      <c r="Q398" s="18" t="n">
        <f aca="false">O398-P398</f>
        <v>637.015335</v>
      </c>
      <c r="R398" s="14" t="s">
        <v>130</v>
      </c>
      <c r="S398" s="14" t="s">
        <v>125</v>
      </c>
    </row>
    <row r="399" customFormat="false" ht="15" hidden="false" customHeight="false" outlineLevel="0" collapsed="false">
      <c r="A399" s="14" t="s">
        <v>927</v>
      </c>
      <c r="B399" s="15" t="n">
        <v>46131</v>
      </c>
      <c r="C399" s="14" t="s">
        <v>899</v>
      </c>
      <c r="D399" s="14" t="s">
        <v>900</v>
      </c>
      <c r="E399" s="14" t="s">
        <v>139</v>
      </c>
      <c r="F399" s="14" t="s">
        <v>152</v>
      </c>
      <c r="G399" s="14" t="s">
        <v>147</v>
      </c>
      <c r="H399" s="14" t="s">
        <v>54</v>
      </c>
      <c r="I399" s="14" t="str">
        <f aca="false">IFERROR(INDEX(Calculations!$B$6:$B$27,MATCH(H399,Calculations!$A$6:$A$27,0)),"Unknown")</f>
        <v>Audio</v>
      </c>
      <c r="J399" s="14" t="n">
        <v>6</v>
      </c>
      <c r="K399" s="16" t="n">
        <v>2721.83</v>
      </c>
      <c r="L399" s="17" t="n">
        <v>0.05</v>
      </c>
      <c r="M399" s="18" t="n">
        <f aca="false">J399*K399*(1-L399)</f>
        <v>15514.431</v>
      </c>
      <c r="N399" s="18" t="n">
        <f aca="false">J399*IFERROR(INDEX(Calculations!$C$6:$C$27,MATCH(H399,Calculations!$A$6:$A$27,0)),0)</f>
        <v>8400</v>
      </c>
      <c r="O399" s="18" t="n">
        <f aca="false">M399-N399</f>
        <v>7114.431</v>
      </c>
      <c r="P399" s="18" t="n">
        <f aca="false">M399*IFERROR(INDEX(Calculations!$F$6:$F$11,MATCH(I399,Calculations!$E$6:$E$11,0)),0.1)</f>
        <v>1551.4431</v>
      </c>
      <c r="Q399" s="18" t="n">
        <f aca="false">O399-P399</f>
        <v>5562.9879</v>
      </c>
      <c r="R399" s="14" t="s">
        <v>135</v>
      </c>
      <c r="S399" s="14" t="s">
        <v>125</v>
      </c>
    </row>
    <row r="400" customFormat="false" ht="15" hidden="false" customHeight="false" outlineLevel="0" collapsed="false">
      <c r="A400" s="14" t="s">
        <v>928</v>
      </c>
      <c r="B400" s="15" t="n">
        <v>46131</v>
      </c>
      <c r="C400" s="14" t="s">
        <v>929</v>
      </c>
      <c r="D400" s="14" t="s">
        <v>930</v>
      </c>
      <c r="E400" s="14" t="s">
        <v>194</v>
      </c>
      <c r="F400" s="14" t="s">
        <v>195</v>
      </c>
      <c r="G400" s="14" t="s">
        <v>161</v>
      </c>
      <c r="H400" s="14" t="s">
        <v>77</v>
      </c>
      <c r="I400" s="14" t="str">
        <f aca="false">IFERROR(INDEX(Calculations!$B$6:$B$27,MATCH(H400,Calculations!$A$6:$A$27,0)),"Unknown")</f>
        <v>Cameras</v>
      </c>
      <c r="J400" s="14" t="n">
        <v>1</v>
      </c>
      <c r="K400" s="16" t="n">
        <v>5580.65</v>
      </c>
      <c r="L400" s="17" t="n">
        <v>0.2</v>
      </c>
      <c r="M400" s="18" t="n">
        <f aca="false">J400*K400*(1-L400)</f>
        <v>4464.52</v>
      </c>
      <c r="N400" s="18" t="n">
        <f aca="false">J400*IFERROR(INDEX(Calculations!$C$6:$C$27,MATCH(H400,Calculations!$A$6:$A$27,0)),0)</f>
        <v>3100</v>
      </c>
      <c r="O400" s="18" t="n">
        <f aca="false">M400-N400</f>
        <v>1364.52</v>
      </c>
      <c r="P400" s="18" t="n">
        <f aca="false">M400*IFERROR(INDEX(Calculations!$F$6:$F$11,MATCH(I400,Calculations!$E$6:$E$11,0)),0.1)</f>
        <v>334.839</v>
      </c>
      <c r="Q400" s="18" t="n">
        <f aca="false">O400-P400</f>
        <v>1029.681</v>
      </c>
      <c r="R400" s="14" t="s">
        <v>135</v>
      </c>
      <c r="S400" s="14" t="s">
        <v>125</v>
      </c>
    </row>
    <row r="401" customFormat="false" ht="15" hidden="false" customHeight="false" outlineLevel="0" collapsed="false">
      <c r="A401" s="14" t="s">
        <v>931</v>
      </c>
      <c r="B401" s="15" t="n">
        <v>46133</v>
      </c>
      <c r="C401" s="14" t="s">
        <v>778</v>
      </c>
      <c r="D401" s="14" t="s">
        <v>779</v>
      </c>
      <c r="E401" s="14" t="s">
        <v>194</v>
      </c>
      <c r="F401" s="14" t="s">
        <v>195</v>
      </c>
      <c r="G401" s="14" t="s">
        <v>209</v>
      </c>
      <c r="H401" s="14" t="s">
        <v>67</v>
      </c>
      <c r="I401" s="14" t="str">
        <f aca="false">IFERROR(INDEX(Calculations!$B$6:$B$27,MATCH(H401,Calculations!$A$6:$A$27,0)),"Unknown")</f>
        <v>Computer Peripherals</v>
      </c>
      <c r="J401" s="14" t="n">
        <v>1</v>
      </c>
      <c r="K401" s="16" t="n">
        <v>1794.17</v>
      </c>
      <c r="L401" s="17" t="n">
        <v>0</v>
      </c>
      <c r="M401" s="18" t="n">
        <f aca="false">J401*K401*(1-L401)</f>
        <v>1794.17</v>
      </c>
      <c r="N401" s="18" t="n">
        <f aca="false">J401*IFERROR(INDEX(Calculations!$C$6:$C$27,MATCH(H401,Calculations!$A$6:$A$27,0)),0)</f>
        <v>900</v>
      </c>
      <c r="O401" s="18" t="n">
        <f aca="false">M401-N401</f>
        <v>894.17</v>
      </c>
      <c r="P401" s="18" t="n">
        <f aca="false">M401*IFERROR(INDEX(Calculations!$F$6:$F$11,MATCH(I401,Calculations!$E$6:$E$11,0)),0.1)</f>
        <v>143.5336</v>
      </c>
      <c r="Q401" s="18" t="n">
        <f aca="false">O401-P401</f>
        <v>750.6364</v>
      </c>
      <c r="R401" s="14" t="s">
        <v>130</v>
      </c>
      <c r="S401" s="14" t="s">
        <v>125</v>
      </c>
    </row>
    <row r="402" customFormat="false" ht="15" hidden="false" customHeight="false" outlineLevel="0" collapsed="false">
      <c r="A402" s="14" t="s">
        <v>932</v>
      </c>
      <c r="B402" s="15" t="n">
        <v>46133</v>
      </c>
      <c r="C402" s="14" t="s">
        <v>798</v>
      </c>
      <c r="D402" s="14" t="s">
        <v>799</v>
      </c>
      <c r="E402" s="14" t="s">
        <v>139</v>
      </c>
      <c r="F402" s="14" t="s">
        <v>140</v>
      </c>
      <c r="G402" s="14" t="s">
        <v>209</v>
      </c>
      <c r="H402" s="14" t="s">
        <v>64</v>
      </c>
      <c r="I402" s="14" t="str">
        <f aca="false">IFERROR(INDEX(Calculations!$B$6:$B$27,MATCH(H402,Calculations!$A$6:$A$27,0)),"Unknown")</f>
        <v>Computer Peripherals</v>
      </c>
      <c r="J402" s="14" t="n">
        <v>1</v>
      </c>
      <c r="K402" s="16" t="n">
        <v>814.99</v>
      </c>
      <c r="L402" s="17" t="n">
        <v>0.05</v>
      </c>
      <c r="M402" s="18" t="n">
        <f aca="false">J402*K402*(1-L402)</f>
        <v>774.2405</v>
      </c>
      <c r="N402" s="18" t="n">
        <f aca="false">J402*IFERROR(INDEX(Calculations!$C$6:$C$27,MATCH(H402,Calculations!$A$6:$A$27,0)),0)</f>
        <v>350</v>
      </c>
      <c r="O402" s="18" t="n">
        <f aca="false">M402-N402</f>
        <v>424.2405</v>
      </c>
      <c r="P402" s="18" t="n">
        <f aca="false">M402*IFERROR(INDEX(Calculations!$F$6:$F$11,MATCH(I402,Calculations!$E$6:$E$11,0)),0.1)</f>
        <v>61.93924</v>
      </c>
      <c r="Q402" s="18" t="n">
        <f aca="false">O402-P402</f>
        <v>362.30126</v>
      </c>
      <c r="R402" s="14" t="s">
        <v>130</v>
      </c>
      <c r="S402" s="14" t="s">
        <v>125</v>
      </c>
    </row>
    <row r="403" customFormat="false" ht="15" hidden="false" customHeight="false" outlineLevel="0" collapsed="false">
      <c r="A403" s="14" t="s">
        <v>933</v>
      </c>
      <c r="B403" s="15" t="n">
        <v>46134</v>
      </c>
      <c r="C403" s="14" t="s">
        <v>236</v>
      </c>
      <c r="D403" s="14" t="s">
        <v>237</v>
      </c>
      <c r="E403" s="14" t="s">
        <v>145</v>
      </c>
      <c r="F403" s="14" t="s">
        <v>174</v>
      </c>
      <c r="G403" s="14" t="s">
        <v>161</v>
      </c>
      <c r="H403" s="14" t="s">
        <v>63</v>
      </c>
      <c r="I403" s="14" t="str">
        <f aca="false">IFERROR(INDEX(Calculations!$B$6:$B$27,MATCH(H403,Calculations!$A$6:$A$27,0)),"Unknown")</f>
        <v>Mobile Accessories</v>
      </c>
      <c r="J403" s="14" t="n">
        <v>1</v>
      </c>
      <c r="K403" s="16" t="n">
        <v>355.78</v>
      </c>
      <c r="L403" s="17" t="n">
        <v>0.15</v>
      </c>
      <c r="M403" s="18" t="n">
        <f aca="false">J403*K403*(1-L403)</f>
        <v>302.413</v>
      </c>
      <c r="N403" s="18" t="n">
        <f aca="false">J403*IFERROR(INDEX(Calculations!$C$6:$C$27,MATCH(H403,Calculations!$A$6:$A$27,0)),0)</f>
        <v>150</v>
      </c>
      <c r="O403" s="18" t="n">
        <f aca="false">M403-N403</f>
        <v>152.413</v>
      </c>
      <c r="P403" s="18" t="n">
        <f aca="false">M403*IFERROR(INDEX(Calculations!$F$6:$F$11,MATCH(I403,Calculations!$E$6:$E$11,0)),0.1)</f>
        <v>36.28956</v>
      </c>
      <c r="Q403" s="18" t="n">
        <f aca="false">O403-P403</f>
        <v>116.12344</v>
      </c>
      <c r="R403" s="14" t="s">
        <v>124</v>
      </c>
      <c r="S403" s="14" t="s">
        <v>210</v>
      </c>
    </row>
    <row r="404" customFormat="false" ht="15" hidden="false" customHeight="false" outlineLevel="0" collapsed="false">
      <c r="A404" s="14" t="s">
        <v>934</v>
      </c>
      <c r="B404" s="15" t="n">
        <v>46134</v>
      </c>
      <c r="C404" s="14" t="s">
        <v>177</v>
      </c>
      <c r="D404" s="14" t="s">
        <v>178</v>
      </c>
      <c r="E404" s="14" t="s">
        <v>121</v>
      </c>
      <c r="F404" s="14" t="s">
        <v>129</v>
      </c>
      <c r="G404" s="14" t="s">
        <v>134</v>
      </c>
      <c r="H404" s="14" t="s">
        <v>56</v>
      </c>
      <c r="I404" s="14" t="str">
        <f aca="false">IFERROR(INDEX(Calculations!$B$6:$B$27,MATCH(H404,Calculations!$A$6:$A$27,0)),"Unknown")</f>
        <v>Audio</v>
      </c>
      <c r="J404" s="14" t="n">
        <v>1</v>
      </c>
      <c r="K404" s="16" t="n">
        <v>865.67</v>
      </c>
      <c r="L404" s="17" t="n">
        <v>0.05</v>
      </c>
      <c r="M404" s="18" t="n">
        <f aca="false">J404*K404*(1-L404)</f>
        <v>822.3865</v>
      </c>
      <c r="N404" s="18" t="n">
        <f aca="false">J404*IFERROR(INDEX(Calculations!$C$6:$C$27,MATCH(H404,Calculations!$A$6:$A$27,0)),0)</f>
        <v>450</v>
      </c>
      <c r="O404" s="18" t="n">
        <f aca="false">M404-N404</f>
        <v>372.3865</v>
      </c>
      <c r="P404" s="18" t="n">
        <f aca="false">M404*IFERROR(INDEX(Calculations!$F$6:$F$11,MATCH(I404,Calculations!$E$6:$E$11,0)),0.1)</f>
        <v>82.23865</v>
      </c>
      <c r="Q404" s="18" t="n">
        <f aca="false">O404-P404</f>
        <v>290.14785</v>
      </c>
      <c r="R404" s="14" t="s">
        <v>243</v>
      </c>
      <c r="S404" s="14" t="s">
        <v>125</v>
      </c>
    </row>
    <row r="405" customFormat="false" ht="15" hidden="false" customHeight="false" outlineLevel="0" collapsed="false">
      <c r="A405" s="14" t="s">
        <v>935</v>
      </c>
      <c r="B405" s="15" t="n">
        <v>46135</v>
      </c>
      <c r="C405" s="14" t="s">
        <v>687</v>
      </c>
      <c r="D405" s="14" t="s">
        <v>688</v>
      </c>
      <c r="E405" s="14" t="s">
        <v>156</v>
      </c>
      <c r="F405" s="14" t="s">
        <v>157</v>
      </c>
      <c r="G405" s="14" t="s">
        <v>161</v>
      </c>
      <c r="H405" s="14" t="s">
        <v>67</v>
      </c>
      <c r="I405" s="14" t="str">
        <f aca="false">IFERROR(INDEX(Calculations!$B$6:$B$27,MATCH(H405,Calculations!$A$6:$A$27,0)),"Unknown")</f>
        <v>Computer Peripherals</v>
      </c>
      <c r="J405" s="14" t="n">
        <v>4</v>
      </c>
      <c r="K405" s="16" t="n">
        <v>1763.11</v>
      </c>
      <c r="L405" s="17" t="n">
        <v>0.1</v>
      </c>
      <c r="M405" s="18" t="n">
        <f aca="false">J405*K405*(1-L405)</f>
        <v>6347.196</v>
      </c>
      <c r="N405" s="18" t="n">
        <f aca="false">J405*IFERROR(INDEX(Calculations!$C$6:$C$27,MATCH(H405,Calculations!$A$6:$A$27,0)),0)</f>
        <v>3600</v>
      </c>
      <c r="O405" s="18" t="n">
        <f aca="false">M405-N405</f>
        <v>2747.196</v>
      </c>
      <c r="P405" s="18" t="n">
        <f aca="false">M405*IFERROR(INDEX(Calculations!$F$6:$F$11,MATCH(I405,Calculations!$E$6:$E$11,0)),0.1)</f>
        <v>507.77568</v>
      </c>
      <c r="Q405" s="18" t="n">
        <f aca="false">O405-P405</f>
        <v>2239.42032</v>
      </c>
      <c r="R405" s="14" t="s">
        <v>124</v>
      </c>
      <c r="S405" s="14" t="s">
        <v>125</v>
      </c>
    </row>
    <row r="406" customFormat="false" ht="15" hidden="false" customHeight="false" outlineLevel="0" collapsed="false">
      <c r="A406" s="14" t="s">
        <v>936</v>
      </c>
      <c r="B406" s="15" t="n">
        <v>46135</v>
      </c>
      <c r="C406" s="14" t="s">
        <v>515</v>
      </c>
      <c r="D406" s="14" t="s">
        <v>516</v>
      </c>
      <c r="E406" s="14" t="s">
        <v>156</v>
      </c>
      <c r="F406" s="14" t="s">
        <v>157</v>
      </c>
      <c r="G406" s="14" t="s">
        <v>147</v>
      </c>
      <c r="H406" s="14" t="s">
        <v>72</v>
      </c>
      <c r="I406" s="14" t="str">
        <f aca="false">IFERROR(INDEX(Calculations!$B$6:$B$27,MATCH(H406,Calculations!$A$6:$A$27,0)),"Unknown")</f>
        <v>Smart Home</v>
      </c>
      <c r="J406" s="14" t="n">
        <v>2</v>
      </c>
      <c r="K406" s="16" t="n">
        <v>4459.82</v>
      </c>
      <c r="L406" s="17" t="n">
        <v>0.1</v>
      </c>
      <c r="M406" s="18" t="n">
        <f aca="false">J406*K406*(1-L406)</f>
        <v>8027.676</v>
      </c>
      <c r="N406" s="18" t="n">
        <f aca="false">J406*IFERROR(INDEX(Calculations!$C$6:$C$27,MATCH(H406,Calculations!$A$6:$A$27,0)),0)</f>
        <v>5200</v>
      </c>
      <c r="O406" s="18" t="n">
        <f aca="false">M406-N406</f>
        <v>2827.676</v>
      </c>
      <c r="P406" s="18" t="n">
        <f aca="false">M406*IFERROR(INDEX(Calculations!$F$6:$F$11,MATCH(I406,Calculations!$E$6:$E$11,0)),0.1)</f>
        <v>883.04436</v>
      </c>
      <c r="Q406" s="18" t="n">
        <f aca="false">O406-P406</f>
        <v>1944.63164</v>
      </c>
      <c r="R406" s="14" t="s">
        <v>135</v>
      </c>
      <c r="S406" s="14" t="s">
        <v>125</v>
      </c>
    </row>
    <row r="407" customFormat="false" ht="15" hidden="false" customHeight="false" outlineLevel="0" collapsed="false">
      <c r="A407" s="14" t="s">
        <v>937</v>
      </c>
      <c r="B407" s="15" t="n">
        <v>46135</v>
      </c>
      <c r="C407" s="14" t="s">
        <v>810</v>
      </c>
      <c r="D407" s="14" t="s">
        <v>811</v>
      </c>
      <c r="E407" s="14" t="s">
        <v>139</v>
      </c>
      <c r="F407" s="14" t="s">
        <v>152</v>
      </c>
      <c r="G407" s="14" t="s">
        <v>141</v>
      </c>
      <c r="H407" s="14" t="s">
        <v>62</v>
      </c>
      <c r="I407" s="14" t="str">
        <f aca="false">IFERROR(INDEX(Calculations!$B$6:$B$27,MATCH(H407,Calculations!$A$6:$A$27,0)),"Unknown")</f>
        <v>Mobile Accessories</v>
      </c>
      <c r="J407" s="14" t="n">
        <v>2</v>
      </c>
      <c r="K407" s="16" t="n">
        <v>360.67</v>
      </c>
      <c r="L407" s="17" t="n">
        <v>0.15</v>
      </c>
      <c r="M407" s="18" t="n">
        <f aca="false">J407*K407*(1-L407)</f>
        <v>613.139</v>
      </c>
      <c r="N407" s="18" t="n">
        <f aca="false">J407*IFERROR(INDEX(Calculations!$C$6:$C$27,MATCH(H407,Calculations!$A$6:$A$27,0)),0)</f>
        <v>260</v>
      </c>
      <c r="O407" s="18" t="n">
        <f aca="false">M407-N407</f>
        <v>353.139</v>
      </c>
      <c r="P407" s="18" t="n">
        <f aca="false">M407*IFERROR(INDEX(Calculations!$F$6:$F$11,MATCH(I407,Calculations!$E$6:$E$11,0)),0.1)</f>
        <v>73.57668</v>
      </c>
      <c r="Q407" s="18" t="n">
        <f aca="false">O407-P407</f>
        <v>279.56232</v>
      </c>
      <c r="R407" s="14" t="s">
        <v>130</v>
      </c>
      <c r="S407" s="14" t="s">
        <v>125</v>
      </c>
    </row>
    <row r="408" customFormat="false" ht="15" hidden="false" customHeight="false" outlineLevel="0" collapsed="false">
      <c r="A408" s="14" t="s">
        <v>938</v>
      </c>
      <c r="B408" s="15" t="n">
        <v>46136</v>
      </c>
      <c r="C408" s="14" t="s">
        <v>274</v>
      </c>
      <c r="D408" s="14" t="s">
        <v>275</v>
      </c>
      <c r="E408" s="14" t="s">
        <v>156</v>
      </c>
      <c r="F408" s="14" t="s">
        <v>157</v>
      </c>
      <c r="G408" s="14" t="s">
        <v>161</v>
      </c>
      <c r="H408" s="14" t="s">
        <v>77</v>
      </c>
      <c r="I408" s="14" t="str">
        <f aca="false">IFERROR(INDEX(Calculations!$B$6:$B$27,MATCH(H408,Calculations!$A$6:$A$27,0)),"Unknown")</f>
        <v>Cameras</v>
      </c>
      <c r="J408" s="14" t="n">
        <v>2</v>
      </c>
      <c r="K408" s="16" t="n">
        <v>5703.13</v>
      </c>
      <c r="L408" s="17" t="n">
        <v>0</v>
      </c>
      <c r="M408" s="18" t="n">
        <f aca="false">J408*K408*(1-L408)</f>
        <v>11406.26</v>
      </c>
      <c r="N408" s="18" t="n">
        <f aca="false">J408*IFERROR(INDEX(Calculations!$C$6:$C$27,MATCH(H408,Calculations!$A$6:$A$27,0)),0)</f>
        <v>6200</v>
      </c>
      <c r="O408" s="18" t="n">
        <f aca="false">M408-N408</f>
        <v>5206.26</v>
      </c>
      <c r="P408" s="18" t="n">
        <f aca="false">M408*IFERROR(INDEX(Calculations!$F$6:$F$11,MATCH(I408,Calculations!$E$6:$E$11,0)),0.1)</f>
        <v>855.4695</v>
      </c>
      <c r="Q408" s="18" t="n">
        <f aca="false">O408-P408</f>
        <v>4350.7905</v>
      </c>
      <c r="R408" s="14" t="s">
        <v>124</v>
      </c>
      <c r="S408" s="14" t="s">
        <v>125</v>
      </c>
    </row>
    <row r="409" customFormat="false" ht="15" hidden="false" customHeight="false" outlineLevel="0" collapsed="false">
      <c r="A409" s="14" t="s">
        <v>939</v>
      </c>
      <c r="B409" s="15" t="n">
        <v>46136</v>
      </c>
      <c r="C409" s="14" t="s">
        <v>398</v>
      </c>
      <c r="D409" s="14" t="s">
        <v>399</v>
      </c>
      <c r="E409" s="14" t="s">
        <v>139</v>
      </c>
      <c r="F409" s="14" t="s">
        <v>152</v>
      </c>
      <c r="G409" s="14" t="s">
        <v>134</v>
      </c>
      <c r="H409" s="14" t="s">
        <v>74</v>
      </c>
      <c r="I409" s="14" t="str">
        <f aca="false">IFERROR(INDEX(Calculations!$B$6:$B$27,MATCH(H409,Calculations!$A$6:$A$27,0)),"Unknown")</f>
        <v>Wearables</v>
      </c>
      <c r="J409" s="14" t="n">
        <v>3</v>
      </c>
      <c r="K409" s="16" t="n">
        <v>6327.17</v>
      </c>
      <c r="L409" s="17" t="n">
        <v>0</v>
      </c>
      <c r="M409" s="18" t="n">
        <f aca="false">J409*K409*(1-L409)</f>
        <v>18981.51</v>
      </c>
      <c r="N409" s="18" t="n">
        <f aca="false">J409*IFERROR(INDEX(Calculations!$C$6:$C$27,MATCH(H409,Calculations!$A$6:$A$27,0)),0)</f>
        <v>11400</v>
      </c>
      <c r="O409" s="18" t="n">
        <f aca="false">M409-N409</f>
        <v>7581.51</v>
      </c>
      <c r="P409" s="18" t="n">
        <f aca="false">M409*IFERROR(INDEX(Calculations!$F$6:$F$11,MATCH(I409,Calculations!$E$6:$E$11,0)),0.1)</f>
        <v>1708.3359</v>
      </c>
      <c r="Q409" s="18" t="n">
        <f aca="false">O409-P409</f>
        <v>5873.1741</v>
      </c>
      <c r="R409" s="14" t="s">
        <v>130</v>
      </c>
      <c r="S409" s="14" t="s">
        <v>125</v>
      </c>
    </row>
    <row r="410" customFormat="false" ht="15" hidden="false" customHeight="false" outlineLevel="0" collapsed="false">
      <c r="A410" s="14" t="s">
        <v>940</v>
      </c>
      <c r="B410" s="15" t="n">
        <v>46136</v>
      </c>
      <c r="C410" s="14" t="s">
        <v>358</v>
      </c>
      <c r="D410" s="14" t="s">
        <v>359</v>
      </c>
      <c r="E410" s="14" t="s">
        <v>139</v>
      </c>
      <c r="F410" s="14" t="s">
        <v>152</v>
      </c>
      <c r="G410" s="14" t="s">
        <v>170</v>
      </c>
      <c r="H410" s="14" t="s">
        <v>64</v>
      </c>
      <c r="I410" s="14" t="str">
        <f aca="false">IFERROR(INDEX(Calculations!$B$6:$B$27,MATCH(H410,Calculations!$A$6:$A$27,0)),"Unknown")</f>
        <v>Computer Peripherals</v>
      </c>
      <c r="J410" s="14" t="n">
        <v>5</v>
      </c>
      <c r="K410" s="16" t="n">
        <v>767.83</v>
      </c>
      <c r="L410" s="17" t="n">
        <v>0.1</v>
      </c>
      <c r="M410" s="18" t="n">
        <f aca="false">J410*K410*(1-L410)</f>
        <v>3455.235</v>
      </c>
      <c r="N410" s="18" t="n">
        <f aca="false">J410*IFERROR(INDEX(Calculations!$C$6:$C$27,MATCH(H410,Calculations!$A$6:$A$27,0)),0)</f>
        <v>1750</v>
      </c>
      <c r="O410" s="18" t="n">
        <f aca="false">M410-N410</f>
        <v>1705.235</v>
      </c>
      <c r="P410" s="18" t="n">
        <f aca="false">M410*IFERROR(INDEX(Calculations!$F$6:$F$11,MATCH(I410,Calculations!$E$6:$E$11,0)),0.1)</f>
        <v>276.4188</v>
      </c>
      <c r="Q410" s="18" t="n">
        <f aca="false">O410-P410</f>
        <v>1428.8162</v>
      </c>
      <c r="R410" s="14" t="s">
        <v>135</v>
      </c>
      <c r="S410" s="14" t="s">
        <v>210</v>
      </c>
    </row>
    <row r="411" customFormat="false" ht="15" hidden="false" customHeight="false" outlineLevel="0" collapsed="false">
      <c r="A411" s="14" t="s">
        <v>941</v>
      </c>
      <c r="B411" s="15" t="n">
        <v>46136</v>
      </c>
      <c r="C411" s="14" t="s">
        <v>942</v>
      </c>
      <c r="D411" s="14" t="s">
        <v>943</v>
      </c>
      <c r="E411" s="14" t="s">
        <v>194</v>
      </c>
      <c r="F411" s="14" t="s">
        <v>195</v>
      </c>
      <c r="G411" s="14" t="s">
        <v>209</v>
      </c>
      <c r="H411" s="14" t="s">
        <v>52</v>
      </c>
      <c r="I411" s="14" t="str">
        <f aca="false">IFERROR(INDEX(Calculations!$B$6:$B$27,MATCH(H411,Calculations!$A$6:$A$27,0)),"Unknown")</f>
        <v>Audio</v>
      </c>
      <c r="J411" s="14" t="n">
        <v>2</v>
      </c>
      <c r="K411" s="16" t="n">
        <v>1948.68</v>
      </c>
      <c r="L411" s="17" t="n">
        <v>0</v>
      </c>
      <c r="M411" s="18" t="n">
        <f aca="false">J411*K411*(1-L411)</f>
        <v>3897.36</v>
      </c>
      <c r="N411" s="18" t="n">
        <f aca="false">J411*IFERROR(INDEX(Calculations!$C$6:$C$27,MATCH(H411,Calculations!$A$6:$A$27,0)),0)</f>
        <v>1800</v>
      </c>
      <c r="O411" s="18" t="n">
        <f aca="false">M411-N411</f>
        <v>2097.36</v>
      </c>
      <c r="P411" s="18" t="n">
        <f aca="false">M411*IFERROR(INDEX(Calculations!$F$6:$F$11,MATCH(I411,Calculations!$E$6:$E$11,0)),0.1)</f>
        <v>389.736</v>
      </c>
      <c r="Q411" s="18" t="n">
        <f aca="false">O411-P411</f>
        <v>1707.624</v>
      </c>
      <c r="R411" s="14" t="s">
        <v>243</v>
      </c>
      <c r="S411" s="14" t="s">
        <v>125</v>
      </c>
    </row>
    <row r="412" customFormat="false" ht="15" hidden="false" customHeight="false" outlineLevel="0" collapsed="false">
      <c r="A412" s="14" t="s">
        <v>944</v>
      </c>
      <c r="B412" s="15" t="n">
        <v>46138</v>
      </c>
      <c r="C412" s="14" t="s">
        <v>284</v>
      </c>
      <c r="D412" s="14" t="s">
        <v>285</v>
      </c>
      <c r="E412" s="14" t="s">
        <v>145</v>
      </c>
      <c r="F412" s="14" t="s">
        <v>174</v>
      </c>
      <c r="G412" s="14" t="s">
        <v>170</v>
      </c>
      <c r="H412" s="14" t="s">
        <v>73</v>
      </c>
      <c r="I412" s="14" t="str">
        <f aca="false">IFERROR(INDEX(Calculations!$B$6:$B$27,MATCH(H412,Calculations!$A$6:$A$27,0)),"Unknown")</f>
        <v>Wearables</v>
      </c>
      <c r="J412" s="14" t="n">
        <v>4</v>
      </c>
      <c r="K412" s="16" t="n">
        <v>1940.5</v>
      </c>
      <c r="L412" s="17" t="n">
        <v>0.05</v>
      </c>
      <c r="M412" s="18" t="n">
        <f aca="false">J412*K412*(1-L412)</f>
        <v>7373.9</v>
      </c>
      <c r="N412" s="18" t="n">
        <f aca="false">J412*IFERROR(INDEX(Calculations!$C$6:$C$27,MATCH(H412,Calculations!$A$6:$A$27,0)),0)</f>
        <v>4400</v>
      </c>
      <c r="O412" s="18" t="n">
        <f aca="false">M412-N412</f>
        <v>2973.9</v>
      </c>
      <c r="P412" s="18" t="n">
        <f aca="false">M412*IFERROR(INDEX(Calculations!$F$6:$F$11,MATCH(I412,Calculations!$E$6:$E$11,0)),0.1)</f>
        <v>663.651</v>
      </c>
      <c r="Q412" s="18" t="n">
        <f aca="false">O412-P412</f>
        <v>2310.249</v>
      </c>
      <c r="R412" s="14" t="s">
        <v>130</v>
      </c>
      <c r="S412" s="14" t="s">
        <v>210</v>
      </c>
    </row>
    <row r="413" customFormat="false" ht="15" hidden="false" customHeight="false" outlineLevel="0" collapsed="false">
      <c r="A413" s="14" t="s">
        <v>945</v>
      </c>
      <c r="B413" s="15" t="n">
        <v>46138</v>
      </c>
      <c r="C413" s="14" t="s">
        <v>434</v>
      </c>
      <c r="D413" s="14" t="s">
        <v>435</v>
      </c>
      <c r="E413" s="14" t="s">
        <v>139</v>
      </c>
      <c r="F413" s="14" t="s">
        <v>152</v>
      </c>
      <c r="G413" s="14" t="s">
        <v>147</v>
      </c>
      <c r="H413" s="14" t="s">
        <v>77</v>
      </c>
      <c r="I413" s="14" t="str">
        <f aca="false">IFERROR(INDEX(Calculations!$B$6:$B$27,MATCH(H413,Calculations!$A$6:$A$27,0)),"Unknown")</f>
        <v>Cameras</v>
      </c>
      <c r="J413" s="14" t="n">
        <v>6</v>
      </c>
      <c r="K413" s="16" t="n">
        <v>5573.72</v>
      </c>
      <c r="L413" s="17" t="n">
        <v>0.05</v>
      </c>
      <c r="M413" s="18" t="n">
        <f aca="false">J413*K413*(1-L413)</f>
        <v>31770.204</v>
      </c>
      <c r="N413" s="18" t="n">
        <f aca="false">J413*IFERROR(INDEX(Calculations!$C$6:$C$27,MATCH(H413,Calculations!$A$6:$A$27,0)),0)</f>
        <v>18600</v>
      </c>
      <c r="O413" s="18" t="n">
        <f aca="false">M413-N413</f>
        <v>13170.204</v>
      </c>
      <c r="P413" s="18" t="n">
        <f aca="false">M413*IFERROR(INDEX(Calculations!$F$6:$F$11,MATCH(I413,Calculations!$E$6:$E$11,0)),0.1)</f>
        <v>2382.7653</v>
      </c>
      <c r="Q413" s="18" t="n">
        <f aca="false">O413-P413</f>
        <v>10787.4387</v>
      </c>
      <c r="R413" s="14" t="s">
        <v>124</v>
      </c>
      <c r="S413" s="14" t="s">
        <v>125</v>
      </c>
    </row>
    <row r="414" customFormat="false" ht="15" hidden="false" customHeight="false" outlineLevel="0" collapsed="false">
      <c r="A414" s="14" t="s">
        <v>946</v>
      </c>
      <c r="B414" s="15" t="n">
        <v>46138</v>
      </c>
      <c r="C414" s="14" t="s">
        <v>154</v>
      </c>
      <c r="D414" s="14" t="s">
        <v>155</v>
      </c>
      <c r="E414" s="14" t="s">
        <v>156</v>
      </c>
      <c r="F414" s="14" t="s">
        <v>157</v>
      </c>
      <c r="G414" s="14" t="s">
        <v>209</v>
      </c>
      <c r="H414" s="14" t="s">
        <v>68</v>
      </c>
      <c r="I414" s="14" t="str">
        <f aca="false">IFERROR(INDEX(Calculations!$B$6:$B$27,MATCH(H414,Calculations!$A$6:$A$27,0)),"Unknown")</f>
        <v>Computer Peripherals</v>
      </c>
      <c r="J414" s="14" t="n">
        <v>1</v>
      </c>
      <c r="K414" s="16" t="n">
        <v>1008.44</v>
      </c>
      <c r="L414" s="17" t="n">
        <v>0</v>
      </c>
      <c r="M414" s="18" t="n">
        <f aca="false">J414*K414*(1-L414)</f>
        <v>1008.44</v>
      </c>
      <c r="N414" s="18" t="n">
        <f aca="false">J414*IFERROR(INDEX(Calculations!$C$6:$C$27,MATCH(H414,Calculations!$A$6:$A$27,0)),0)</f>
        <v>500</v>
      </c>
      <c r="O414" s="18" t="n">
        <f aca="false">M414-N414</f>
        <v>508.44</v>
      </c>
      <c r="P414" s="18" t="n">
        <f aca="false">M414*IFERROR(INDEX(Calculations!$F$6:$F$11,MATCH(I414,Calculations!$E$6:$E$11,0)),0.1)</f>
        <v>80.6752</v>
      </c>
      <c r="Q414" s="18" t="n">
        <f aca="false">O414-P414</f>
        <v>427.7648</v>
      </c>
      <c r="R414" s="14" t="s">
        <v>243</v>
      </c>
      <c r="S414" s="14" t="s">
        <v>125</v>
      </c>
    </row>
    <row r="415" customFormat="false" ht="15" hidden="false" customHeight="false" outlineLevel="0" collapsed="false">
      <c r="A415" s="14" t="s">
        <v>947</v>
      </c>
      <c r="B415" s="15" t="n">
        <v>46138</v>
      </c>
      <c r="C415" s="14" t="s">
        <v>670</v>
      </c>
      <c r="D415" s="14" t="s">
        <v>671</v>
      </c>
      <c r="E415" s="14" t="s">
        <v>139</v>
      </c>
      <c r="F415" s="14" t="s">
        <v>152</v>
      </c>
      <c r="G415" s="14" t="s">
        <v>170</v>
      </c>
      <c r="H415" s="14" t="s">
        <v>62</v>
      </c>
      <c r="I415" s="14" t="str">
        <f aca="false">IFERROR(INDEX(Calculations!$B$6:$B$27,MATCH(H415,Calculations!$A$6:$A$27,0)),"Unknown")</f>
        <v>Mobile Accessories</v>
      </c>
      <c r="J415" s="14" t="n">
        <v>3</v>
      </c>
      <c r="K415" s="16" t="n">
        <v>339.34</v>
      </c>
      <c r="L415" s="17" t="n">
        <v>0</v>
      </c>
      <c r="M415" s="18" t="n">
        <f aca="false">J415*K415*(1-L415)</f>
        <v>1018.02</v>
      </c>
      <c r="N415" s="18" t="n">
        <f aca="false">J415*IFERROR(INDEX(Calculations!$C$6:$C$27,MATCH(H415,Calculations!$A$6:$A$27,0)),0)</f>
        <v>390</v>
      </c>
      <c r="O415" s="18" t="n">
        <f aca="false">M415-N415</f>
        <v>628.02</v>
      </c>
      <c r="P415" s="18" t="n">
        <f aca="false">M415*IFERROR(INDEX(Calculations!$F$6:$F$11,MATCH(I415,Calculations!$E$6:$E$11,0)),0.1)</f>
        <v>122.1624</v>
      </c>
      <c r="Q415" s="18" t="n">
        <f aca="false">O415-P415</f>
        <v>505.8576</v>
      </c>
      <c r="R415" s="14" t="s">
        <v>124</v>
      </c>
      <c r="S415" s="14" t="s">
        <v>125</v>
      </c>
    </row>
    <row r="416" customFormat="false" ht="15" hidden="false" customHeight="false" outlineLevel="0" collapsed="false">
      <c r="A416" s="14" t="s">
        <v>948</v>
      </c>
      <c r="B416" s="15" t="n">
        <v>46139</v>
      </c>
      <c r="C416" s="14" t="s">
        <v>143</v>
      </c>
      <c r="D416" s="14" t="s">
        <v>144</v>
      </c>
      <c r="E416" s="14" t="s">
        <v>145</v>
      </c>
      <c r="F416" s="14" t="s">
        <v>146</v>
      </c>
      <c r="G416" s="14" t="s">
        <v>123</v>
      </c>
      <c r="H416" s="14" t="s">
        <v>71</v>
      </c>
      <c r="I416" s="14" t="str">
        <f aca="false">IFERROR(INDEX(Calculations!$B$6:$B$27,MATCH(H416,Calculations!$A$6:$A$27,0)),"Unknown")</f>
        <v>Smart Home</v>
      </c>
      <c r="J416" s="14" t="n">
        <v>3</v>
      </c>
      <c r="K416" s="16" t="n">
        <v>922.25</v>
      </c>
      <c r="L416" s="17" t="n">
        <v>0</v>
      </c>
      <c r="M416" s="18" t="n">
        <f aca="false">J416*K416*(1-L416)</f>
        <v>2766.75</v>
      </c>
      <c r="N416" s="18" t="n">
        <f aca="false">J416*IFERROR(INDEX(Calculations!$C$6:$C$27,MATCH(H416,Calculations!$A$6:$A$27,0)),0)</f>
        <v>1350</v>
      </c>
      <c r="O416" s="18" t="n">
        <f aca="false">M416-N416</f>
        <v>1416.75</v>
      </c>
      <c r="P416" s="18" t="n">
        <f aca="false">M416*IFERROR(INDEX(Calculations!$F$6:$F$11,MATCH(I416,Calculations!$E$6:$E$11,0)),0.1)</f>
        <v>304.3425</v>
      </c>
      <c r="Q416" s="18" t="n">
        <f aca="false">O416-P416</f>
        <v>1112.4075</v>
      </c>
      <c r="R416" s="14" t="s">
        <v>243</v>
      </c>
      <c r="S416" s="14" t="s">
        <v>125</v>
      </c>
    </row>
    <row r="417" customFormat="false" ht="15" hidden="false" customHeight="false" outlineLevel="0" collapsed="false">
      <c r="A417" s="14" t="s">
        <v>949</v>
      </c>
      <c r="B417" s="15" t="n">
        <v>46139</v>
      </c>
      <c r="C417" s="14" t="s">
        <v>218</v>
      </c>
      <c r="D417" s="14" t="s">
        <v>219</v>
      </c>
      <c r="E417" s="14" t="s">
        <v>145</v>
      </c>
      <c r="F417" s="14" t="s">
        <v>174</v>
      </c>
      <c r="G417" s="14" t="s">
        <v>161</v>
      </c>
      <c r="H417" s="14" t="s">
        <v>75</v>
      </c>
      <c r="I417" s="14" t="str">
        <f aca="false">IFERROR(INDEX(Calculations!$B$6:$B$27,MATCH(H417,Calculations!$A$6:$A$27,0)),"Unknown")</f>
        <v>Wearables</v>
      </c>
      <c r="J417" s="14" t="n">
        <v>4</v>
      </c>
      <c r="K417" s="16" t="n">
        <v>3237.59</v>
      </c>
      <c r="L417" s="17" t="n">
        <v>0.05</v>
      </c>
      <c r="M417" s="18" t="n">
        <f aca="false">J417*K417*(1-L417)</f>
        <v>12302.842</v>
      </c>
      <c r="N417" s="18" t="n">
        <f aca="false">J417*IFERROR(INDEX(Calculations!$C$6:$C$27,MATCH(H417,Calculations!$A$6:$A$27,0)),0)</f>
        <v>7600</v>
      </c>
      <c r="O417" s="18" t="n">
        <f aca="false">M417-N417</f>
        <v>4702.842</v>
      </c>
      <c r="P417" s="18" t="n">
        <f aca="false">M417*IFERROR(INDEX(Calculations!$F$6:$F$11,MATCH(I417,Calculations!$E$6:$E$11,0)),0.1)</f>
        <v>1107.25578</v>
      </c>
      <c r="Q417" s="18" t="n">
        <f aca="false">O417-P417</f>
        <v>3595.58622</v>
      </c>
      <c r="R417" s="14" t="s">
        <v>124</v>
      </c>
      <c r="S417" s="14" t="s">
        <v>125</v>
      </c>
    </row>
    <row r="418" customFormat="false" ht="15" hidden="false" customHeight="false" outlineLevel="0" collapsed="false">
      <c r="A418" s="14" t="s">
        <v>950</v>
      </c>
      <c r="B418" s="15" t="n">
        <v>46139</v>
      </c>
      <c r="C418" s="14" t="s">
        <v>787</v>
      </c>
      <c r="D418" s="14" t="s">
        <v>788</v>
      </c>
      <c r="E418" s="14" t="s">
        <v>145</v>
      </c>
      <c r="F418" s="14" t="s">
        <v>146</v>
      </c>
      <c r="G418" s="14" t="s">
        <v>141</v>
      </c>
      <c r="H418" s="14" t="s">
        <v>56</v>
      </c>
      <c r="I418" s="14" t="str">
        <f aca="false">IFERROR(INDEX(Calculations!$B$6:$B$27,MATCH(H418,Calculations!$A$6:$A$27,0)),"Unknown")</f>
        <v>Audio</v>
      </c>
      <c r="J418" s="14" t="n">
        <v>5</v>
      </c>
      <c r="K418" s="16" t="n">
        <v>889.91</v>
      </c>
      <c r="L418" s="17" t="n">
        <v>0.2</v>
      </c>
      <c r="M418" s="18" t="n">
        <f aca="false">J418*K418*(1-L418)</f>
        <v>3559.64</v>
      </c>
      <c r="N418" s="18" t="n">
        <f aca="false">J418*IFERROR(INDEX(Calculations!$C$6:$C$27,MATCH(H418,Calculations!$A$6:$A$27,0)),0)</f>
        <v>2250</v>
      </c>
      <c r="O418" s="18" t="n">
        <f aca="false">M418-N418</f>
        <v>1309.64</v>
      </c>
      <c r="P418" s="18" t="n">
        <f aca="false">M418*IFERROR(INDEX(Calculations!$F$6:$F$11,MATCH(I418,Calculations!$E$6:$E$11,0)),0.1)</f>
        <v>355.964</v>
      </c>
      <c r="Q418" s="18" t="n">
        <f aca="false">O418-P418</f>
        <v>953.676</v>
      </c>
      <c r="R418" s="14" t="s">
        <v>124</v>
      </c>
      <c r="S418" s="14" t="s">
        <v>125</v>
      </c>
    </row>
    <row r="419" customFormat="false" ht="15" hidden="false" customHeight="false" outlineLevel="0" collapsed="false">
      <c r="A419" s="14" t="s">
        <v>951</v>
      </c>
      <c r="B419" s="15" t="n">
        <v>46141</v>
      </c>
      <c r="C419" s="14" t="s">
        <v>407</v>
      </c>
      <c r="D419" s="14" t="s">
        <v>408</v>
      </c>
      <c r="E419" s="14" t="s">
        <v>194</v>
      </c>
      <c r="F419" s="14" t="s">
        <v>195</v>
      </c>
      <c r="G419" s="14" t="s">
        <v>141</v>
      </c>
      <c r="H419" s="14" t="s">
        <v>71</v>
      </c>
      <c r="I419" s="14" t="str">
        <f aca="false">IFERROR(INDEX(Calculations!$B$6:$B$27,MATCH(H419,Calculations!$A$6:$A$27,0)),"Unknown")</f>
        <v>Smart Home</v>
      </c>
      <c r="J419" s="14" t="n">
        <v>3</v>
      </c>
      <c r="K419" s="16" t="n">
        <v>934.93</v>
      </c>
      <c r="L419" s="17" t="n">
        <v>0.2</v>
      </c>
      <c r="M419" s="18" t="n">
        <f aca="false">J419*K419*(1-L419)</f>
        <v>2243.832</v>
      </c>
      <c r="N419" s="18" t="n">
        <f aca="false">J419*IFERROR(INDEX(Calculations!$C$6:$C$27,MATCH(H419,Calculations!$A$6:$A$27,0)),0)</f>
        <v>1350</v>
      </c>
      <c r="O419" s="18" t="n">
        <f aca="false">M419-N419</f>
        <v>893.832</v>
      </c>
      <c r="P419" s="18" t="n">
        <f aca="false">M419*IFERROR(INDEX(Calculations!$F$6:$F$11,MATCH(I419,Calculations!$E$6:$E$11,0)),0.1)</f>
        <v>246.82152</v>
      </c>
      <c r="Q419" s="18" t="n">
        <f aca="false">O419-P419</f>
        <v>647.01048</v>
      </c>
      <c r="R419" s="14" t="s">
        <v>130</v>
      </c>
      <c r="S419" s="14" t="s">
        <v>125</v>
      </c>
    </row>
    <row r="420" customFormat="false" ht="15" hidden="false" customHeight="false" outlineLevel="0" collapsed="false">
      <c r="A420" s="14" t="s">
        <v>952</v>
      </c>
      <c r="B420" s="15" t="n">
        <v>46141</v>
      </c>
      <c r="C420" s="14" t="s">
        <v>564</v>
      </c>
      <c r="D420" s="14" t="s">
        <v>565</v>
      </c>
      <c r="E420" s="14" t="s">
        <v>145</v>
      </c>
      <c r="F420" s="14" t="s">
        <v>146</v>
      </c>
      <c r="G420" s="14" t="s">
        <v>170</v>
      </c>
      <c r="H420" s="14" t="s">
        <v>75</v>
      </c>
      <c r="I420" s="14" t="str">
        <f aca="false">IFERROR(INDEX(Calculations!$B$6:$B$27,MATCH(H420,Calculations!$A$6:$A$27,0)),"Unknown")</f>
        <v>Wearables</v>
      </c>
      <c r="J420" s="14" t="n">
        <v>6</v>
      </c>
      <c r="K420" s="16" t="n">
        <v>3384.43</v>
      </c>
      <c r="L420" s="17" t="n">
        <v>0.2</v>
      </c>
      <c r="M420" s="18" t="n">
        <f aca="false">J420*K420*(1-L420)</f>
        <v>16245.264</v>
      </c>
      <c r="N420" s="18" t="n">
        <f aca="false">J420*IFERROR(INDEX(Calculations!$C$6:$C$27,MATCH(H420,Calculations!$A$6:$A$27,0)),0)</f>
        <v>11400</v>
      </c>
      <c r="O420" s="18" t="n">
        <f aca="false">M420-N420</f>
        <v>4845.264</v>
      </c>
      <c r="P420" s="18" t="n">
        <f aca="false">M420*IFERROR(INDEX(Calculations!$F$6:$F$11,MATCH(I420,Calculations!$E$6:$E$11,0)),0.1)</f>
        <v>1462.07376</v>
      </c>
      <c r="Q420" s="18" t="n">
        <f aca="false">O420-P420</f>
        <v>3383.19024</v>
      </c>
      <c r="R420" s="14" t="s">
        <v>130</v>
      </c>
      <c r="S420" s="14" t="s">
        <v>125</v>
      </c>
    </row>
    <row r="421" customFormat="false" ht="15" hidden="false" customHeight="false" outlineLevel="0" collapsed="false">
      <c r="A421" s="14" t="s">
        <v>953</v>
      </c>
      <c r="B421" s="15" t="n">
        <v>46142</v>
      </c>
      <c r="C421" s="14" t="s">
        <v>778</v>
      </c>
      <c r="D421" s="14" t="s">
        <v>779</v>
      </c>
      <c r="E421" s="14" t="s">
        <v>194</v>
      </c>
      <c r="F421" s="14" t="s">
        <v>195</v>
      </c>
      <c r="G421" s="14" t="s">
        <v>147</v>
      </c>
      <c r="H421" s="14" t="s">
        <v>68</v>
      </c>
      <c r="I421" s="14" t="str">
        <f aca="false">IFERROR(INDEX(Calculations!$B$6:$B$27,MATCH(H421,Calculations!$A$6:$A$27,0)),"Unknown")</f>
        <v>Computer Peripherals</v>
      </c>
      <c r="J421" s="14" t="n">
        <v>2</v>
      </c>
      <c r="K421" s="16" t="n">
        <v>1025.64</v>
      </c>
      <c r="L421" s="17" t="n">
        <v>0.15</v>
      </c>
      <c r="M421" s="18" t="n">
        <f aca="false">J421*K421*(1-L421)</f>
        <v>1743.588</v>
      </c>
      <c r="N421" s="18" t="n">
        <f aca="false">J421*IFERROR(INDEX(Calculations!$C$6:$C$27,MATCH(H421,Calculations!$A$6:$A$27,0)),0)</f>
        <v>1000</v>
      </c>
      <c r="O421" s="18" t="n">
        <f aca="false">M421-N421</f>
        <v>743.588</v>
      </c>
      <c r="P421" s="18" t="n">
        <f aca="false">M421*IFERROR(INDEX(Calculations!$F$6:$F$11,MATCH(I421,Calculations!$E$6:$E$11,0)),0.1)</f>
        <v>139.48704</v>
      </c>
      <c r="Q421" s="18" t="n">
        <f aca="false">O421-P421</f>
        <v>604.10096</v>
      </c>
      <c r="R421" s="14" t="s">
        <v>130</v>
      </c>
      <c r="S421" s="14" t="s">
        <v>205</v>
      </c>
    </row>
    <row r="422" customFormat="false" ht="15" hidden="false" customHeight="false" outlineLevel="0" collapsed="false">
      <c r="A422" s="14" t="s">
        <v>954</v>
      </c>
      <c r="B422" s="15" t="n">
        <v>46142</v>
      </c>
      <c r="C422" s="14" t="s">
        <v>386</v>
      </c>
      <c r="D422" s="14" t="s">
        <v>387</v>
      </c>
      <c r="E422" s="14" t="s">
        <v>145</v>
      </c>
      <c r="F422" s="14" t="s">
        <v>146</v>
      </c>
      <c r="G422" s="14" t="s">
        <v>141</v>
      </c>
      <c r="H422" s="14" t="s">
        <v>70</v>
      </c>
      <c r="I422" s="14" t="str">
        <f aca="false">IFERROR(INDEX(Calculations!$B$6:$B$27,MATCH(H422,Calculations!$A$6:$A$27,0)),"Unknown")</f>
        <v>Smart Home</v>
      </c>
      <c r="J422" s="14" t="n">
        <v>2</v>
      </c>
      <c r="K422" s="16" t="n">
        <v>4055.26</v>
      </c>
      <c r="L422" s="17" t="n">
        <v>0.15</v>
      </c>
      <c r="M422" s="18" t="n">
        <f aca="false">J422*K422*(1-L422)</f>
        <v>6893.942</v>
      </c>
      <c r="N422" s="18" t="n">
        <f aca="false">J422*IFERROR(INDEX(Calculations!$C$6:$C$27,MATCH(H422,Calculations!$A$6:$A$27,0)),0)</f>
        <v>4400</v>
      </c>
      <c r="O422" s="18" t="n">
        <f aca="false">M422-N422</f>
        <v>2493.942</v>
      </c>
      <c r="P422" s="18" t="n">
        <f aca="false">M422*IFERROR(INDEX(Calculations!$F$6:$F$11,MATCH(I422,Calculations!$E$6:$E$11,0)),0.1)</f>
        <v>758.33362</v>
      </c>
      <c r="Q422" s="18" t="n">
        <f aca="false">O422-P422</f>
        <v>1735.60838</v>
      </c>
      <c r="R422" s="14" t="s">
        <v>135</v>
      </c>
      <c r="S422" s="14" t="s">
        <v>210</v>
      </c>
    </row>
    <row r="423" customFormat="false" ht="15" hidden="false" customHeight="false" outlineLevel="0" collapsed="false">
      <c r="A423" s="14" t="s">
        <v>955</v>
      </c>
      <c r="B423" s="15" t="n">
        <v>46142</v>
      </c>
      <c r="C423" s="14" t="s">
        <v>771</v>
      </c>
      <c r="D423" s="14" t="s">
        <v>772</v>
      </c>
      <c r="E423" s="14" t="s">
        <v>194</v>
      </c>
      <c r="F423" s="14" t="s">
        <v>195</v>
      </c>
      <c r="G423" s="14" t="s">
        <v>170</v>
      </c>
      <c r="H423" s="14" t="s">
        <v>65</v>
      </c>
      <c r="I423" s="14" t="str">
        <f aca="false">IFERROR(INDEX(Calculations!$B$6:$B$27,MATCH(H423,Calculations!$A$6:$A$27,0)),"Unknown")</f>
        <v>Computer Peripherals</v>
      </c>
      <c r="J423" s="14" t="n">
        <v>2</v>
      </c>
      <c r="K423" s="16" t="n">
        <v>3176.85</v>
      </c>
      <c r="L423" s="17" t="n">
        <v>0.1</v>
      </c>
      <c r="M423" s="18" t="n">
        <f aca="false">J423*K423*(1-L423)</f>
        <v>5718.33</v>
      </c>
      <c r="N423" s="18" t="n">
        <f aca="false">J423*IFERROR(INDEX(Calculations!$C$6:$C$27,MATCH(H423,Calculations!$A$6:$A$27,0)),0)</f>
        <v>3200</v>
      </c>
      <c r="O423" s="18" t="n">
        <f aca="false">M423-N423</f>
        <v>2518.33</v>
      </c>
      <c r="P423" s="18" t="n">
        <f aca="false">M423*IFERROR(INDEX(Calculations!$F$6:$F$11,MATCH(I423,Calculations!$E$6:$E$11,0)),0.1)</f>
        <v>457.4664</v>
      </c>
      <c r="Q423" s="18" t="n">
        <f aca="false">O423-P423</f>
        <v>2060.8636</v>
      </c>
      <c r="R423" s="14" t="s">
        <v>124</v>
      </c>
      <c r="S423" s="14" t="s">
        <v>148</v>
      </c>
    </row>
    <row r="424" customFormat="false" ht="15" hidden="false" customHeight="false" outlineLevel="0" collapsed="false">
      <c r="A424" s="14" t="s">
        <v>956</v>
      </c>
      <c r="B424" s="15" t="n">
        <v>46143</v>
      </c>
      <c r="C424" s="14" t="s">
        <v>326</v>
      </c>
      <c r="D424" s="14" t="s">
        <v>327</v>
      </c>
      <c r="E424" s="14" t="s">
        <v>194</v>
      </c>
      <c r="F424" s="14" t="s">
        <v>195</v>
      </c>
      <c r="G424" s="14" t="s">
        <v>209</v>
      </c>
      <c r="H424" s="14" t="s">
        <v>75</v>
      </c>
      <c r="I424" s="14" t="str">
        <f aca="false">IFERROR(INDEX(Calculations!$B$6:$B$27,MATCH(H424,Calculations!$A$6:$A$27,0)),"Unknown")</f>
        <v>Wearables</v>
      </c>
      <c r="J424" s="14" t="n">
        <v>2</v>
      </c>
      <c r="K424" s="16" t="n">
        <v>3211.55</v>
      </c>
      <c r="L424" s="17" t="n">
        <v>0.2</v>
      </c>
      <c r="M424" s="18" t="n">
        <f aca="false">J424*K424*(1-L424)</f>
        <v>5138.48</v>
      </c>
      <c r="N424" s="18" t="n">
        <f aca="false">J424*IFERROR(INDEX(Calculations!$C$6:$C$27,MATCH(H424,Calculations!$A$6:$A$27,0)),0)</f>
        <v>3800</v>
      </c>
      <c r="O424" s="18" t="n">
        <f aca="false">M424-N424</f>
        <v>1338.48</v>
      </c>
      <c r="P424" s="18" t="n">
        <f aca="false">M424*IFERROR(INDEX(Calculations!$F$6:$F$11,MATCH(I424,Calculations!$E$6:$E$11,0)),0.1)</f>
        <v>462.4632</v>
      </c>
      <c r="Q424" s="18" t="n">
        <f aca="false">O424-P424</f>
        <v>876.0168</v>
      </c>
      <c r="R424" s="14" t="s">
        <v>130</v>
      </c>
      <c r="S424" s="14" t="s">
        <v>125</v>
      </c>
    </row>
    <row r="425" customFormat="false" ht="15" hidden="false" customHeight="false" outlineLevel="0" collapsed="false">
      <c r="A425" s="14" t="s">
        <v>957</v>
      </c>
      <c r="B425" s="15" t="n">
        <v>46144</v>
      </c>
      <c r="C425" s="14" t="s">
        <v>958</v>
      </c>
      <c r="D425" s="14" t="s">
        <v>959</v>
      </c>
      <c r="E425" s="14" t="s">
        <v>156</v>
      </c>
      <c r="F425" s="14" t="s">
        <v>169</v>
      </c>
      <c r="G425" s="14" t="s">
        <v>123</v>
      </c>
      <c r="H425" s="14" t="s">
        <v>64</v>
      </c>
      <c r="I425" s="14" t="str">
        <f aca="false">IFERROR(INDEX(Calculations!$B$6:$B$27,MATCH(H425,Calculations!$A$6:$A$27,0)),"Unknown")</f>
        <v>Computer Peripherals</v>
      </c>
      <c r="J425" s="14" t="n">
        <v>2</v>
      </c>
      <c r="K425" s="16" t="n">
        <v>806.15</v>
      </c>
      <c r="L425" s="17" t="n">
        <v>0.2</v>
      </c>
      <c r="M425" s="18" t="n">
        <f aca="false">J425*K425*(1-L425)</f>
        <v>1289.84</v>
      </c>
      <c r="N425" s="18" t="n">
        <f aca="false">J425*IFERROR(INDEX(Calculations!$C$6:$C$27,MATCH(H425,Calculations!$A$6:$A$27,0)),0)</f>
        <v>700</v>
      </c>
      <c r="O425" s="18" t="n">
        <f aca="false">M425-N425</f>
        <v>589.84</v>
      </c>
      <c r="P425" s="18" t="n">
        <f aca="false">M425*IFERROR(INDEX(Calculations!$F$6:$F$11,MATCH(I425,Calculations!$E$6:$E$11,0)),0.1)</f>
        <v>103.1872</v>
      </c>
      <c r="Q425" s="18" t="n">
        <f aca="false">O425-P425</f>
        <v>486.6528</v>
      </c>
      <c r="R425" s="14" t="s">
        <v>124</v>
      </c>
      <c r="S425" s="14" t="s">
        <v>125</v>
      </c>
    </row>
    <row r="426" customFormat="false" ht="15" hidden="false" customHeight="false" outlineLevel="0" collapsed="false">
      <c r="A426" s="14" t="s">
        <v>960</v>
      </c>
      <c r="B426" s="15" t="n">
        <v>46145</v>
      </c>
      <c r="C426" s="14" t="s">
        <v>401</v>
      </c>
      <c r="D426" s="14" t="s">
        <v>402</v>
      </c>
      <c r="E426" s="14" t="s">
        <v>145</v>
      </c>
      <c r="F426" s="14" t="s">
        <v>174</v>
      </c>
      <c r="G426" s="14" t="s">
        <v>161</v>
      </c>
      <c r="H426" s="14" t="s">
        <v>63</v>
      </c>
      <c r="I426" s="14" t="str">
        <f aca="false">IFERROR(INDEX(Calculations!$B$6:$B$27,MATCH(H426,Calculations!$A$6:$A$27,0)),"Unknown")</f>
        <v>Mobile Accessories</v>
      </c>
      <c r="J426" s="14" t="n">
        <v>1</v>
      </c>
      <c r="K426" s="16" t="n">
        <v>347.81</v>
      </c>
      <c r="L426" s="17" t="n">
        <v>0.1</v>
      </c>
      <c r="M426" s="18" t="n">
        <f aca="false">J426*K426*(1-L426)</f>
        <v>313.029</v>
      </c>
      <c r="N426" s="18" t="n">
        <f aca="false">J426*IFERROR(INDEX(Calculations!$C$6:$C$27,MATCH(H426,Calculations!$A$6:$A$27,0)),0)</f>
        <v>150</v>
      </c>
      <c r="O426" s="18" t="n">
        <f aca="false">M426-N426</f>
        <v>163.029</v>
      </c>
      <c r="P426" s="18" t="n">
        <f aca="false">M426*IFERROR(INDEX(Calculations!$F$6:$F$11,MATCH(I426,Calculations!$E$6:$E$11,0)),0.1)</f>
        <v>37.56348</v>
      </c>
      <c r="Q426" s="18" t="n">
        <f aca="false">O426-P426</f>
        <v>125.46552</v>
      </c>
      <c r="R426" s="14" t="s">
        <v>165</v>
      </c>
      <c r="S426" s="14" t="s">
        <v>125</v>
      </c>
    </row>
    <row r="427" customFormat="false" ht="15" hidden="false" customHeight="false" outlineLevel="0" collapsed="false">
      <c r="A427" s="14" t="s">
        <v>961</v>
      </c>
      <c r="B427" s="15" t="n">
        <v>46145</v>
      </c>
      <c r="C427" s="14" t="s">
        <v>665</v>
      </c>
      <c r="D427" s="14" t="s">
        <v>666</v>
      </c>
      <c r="E427" s="14" t="s">
        <v>139</v>
      </c>
      <c r="F427" s="14" t="s">
        <v>140</v>
      </c>
      <c r="G427" s="14" t="s">
        <v>134</v>
      </c>
      <c r="H427" s="14" t="s">
        <v>76</v>
      </c>
      <c r="I427" s="14" t="str">
        <f aca="false">IFERROR(INDEX(Calculations!$B$6:$B$27,MATCH(H427,Calculations!$A$6:$A$27,0)),"Unknown")</f>
        <v>Cameras</v>
      </c>
      <c r="J427" s="14" t="n">
        <v>6</v>
      </c>
      <c r="K427" s="16" t="n">
        <v>7369.78</v>
      </c>
      <c r="L427" s="17" t="n">
        <v>0.05</v>
      </c>
      <c r="M427" s="18" t="n">
        <f aca="false">J427*K427*(1-L427)</f>
        <v>42007.746</v>
      </c>
      <c r="N427" s="18" t="n">
        <f aca="false">J427*IFERROR(INDEX(Calculations!$C$6:$C$27,MATCH(H427,Calculations!$A$6:$A$27,0)),0)</f>
        <v>25200</v>
      </c>
      <c r="O427" s="18" t="n">
        <f aca="false">M427-N427</f>
        <v>16807.746</v>
      </c>
      <c r="P427" s="18" t="n">
        <f aca="false">M427*IFERROR(INDEX(Calculations!$F$6:$F$11,MATCH(I427,Calculations!$E$6:$E$11,0)),0.1)</f>
        <v>3150.58095</v>
      </c>
      <c r="Q427" s="18" t="n">
        <f aca="false">O427-P427</f>
        <v>13657.16505</v>
      </c>
      <c r="R427" s="14" t="s">
        <v>124</v>
      </c>
      <c r="S427" s="14" t="s">
        <v>125</v>
      </c>
    </row>
    <row r="428" customFormat="false" ht="15" hidden="false" customHeight="false" outlineLevel="0" collapsed="false">
      <c r="A428" s="14" t="s">
        <v>962</v>
      </c>
      <c r="B428" s="15" t="n">
        <v>46146</v>
      </c>
      <c r="C428" s="14" t="s">
        <v>735</v>
      </c>
      <c r="D428" s="14" t="s">
        <v>736</v>
      </c>
      <c r="E428" s="14" t="s">
        <v>121</v>
      </c>
      <c r="F428" s="14" t="s">
        <v>122</v>
      </c>
      <c r="G428" s="14" t="s">
        <v>161</v>
      </c>
      <c r="H428" s="14" t="s">
        <v>64</v>
      </c>
      <c r="I428" s="14" t="str">
        <f aca="false">IFERROR(INDEX(Calculations!$B$6:$B$27,MATCH(H428,Calculations!$A$6:$A$27,0)),"Unknown")</f>
        <v>Computer Peripherals</v>
      </c>
      <c r="J428" s="14" t="n">
        <v>1</v>
      </c>
      <c r="K428" s="16" t="n">
        <v>800.08</v>
      </c>
      <c r="L428" s="17" t="n">
        <v>0.1</v>
      </c>
      <c r="M428" s="18" t="n">
        <f aca="false">J428*K428*(1-L428)</f>
        <v>720.072</v>
      </c>
      <c r="N428" s="18" t="n">
        <f aca="false">J428*IFERROR(INDEX(Calculations!$C$6:$C$27,MATCH(H428,Calculations!$A$6:$A$27,0)),0)</f>
        <v>350</v>
      </c>
      <c r="O428" s="18" t="n">
        <f aca="false">M428-N428</f>
        <v>370.072</v>
      </c>
      <c r="P428" s="18" t="n">
        <f aca="false">M428*IFERROR(INDEX(Calculations!$F$6:$F$11,MATCH(I428,Calculations!$E$6:$E$11,0)),0.1)</f>
        <v>57.60576</v>
      </c>
      <c r="Q428" s="18" t="n">
        <f aca="false">O428-P428</f>
        <v>312.46624</v>
      </c>
      <c r="R428" s="14" t="s">
        <v>124</v>
      </c>
      <c r="S428" s="14" t="s">
        <v>125</v>
      </c>
    </row>
    <row r="429" customFormat="false" ht="15" hidden="false" customHeight="false" outlineLevel="0" collapsed="false">
      <c r="A429" s="14" t="s">
        <v>963</v>
      </c>
      <c r="B429" s="15" t="n">
        <v>46146</v>
      </c>
      <c r="C429" s="14" t="s">
        <v>964</v>
      </c>
      <c r="D429" s="14" t="s">
        <v>965</v>
      </c>
      <c r="E429" s="14" t="s">
        <v>194</v>
      </c>
      <c r="F429" s="14" t="s">
        <v>195</v>
      </c>
      <c r="G429" s="14" t="s">
        <v>170</v>
      </c>
      <c r="H429" s="14" t="s">
        <v>66</v>
      </c>
      <c r="I429" s="14" t="str">
        <f aca="false">IFERROR(INDEX(Calculations!$B$6:$B$27,MATCH(H429,Calculations!$A$6:$A$27,0)),"Unknown")</f>
        <v>Computer Peripherals</v>
      </c>
      <c r="J429" s="14" t="n">
        <v>1</v>
      </c>
      <c r="K429" s="16" t="n">
        <v>12509.19</v>
      </c>
      <c r="L429" s="17" t="n">
        <v>0.15</v>
      </c>
      <c r="M429" s="18" t="n">
        <f aca="false">J429*K429*(1-L429)</f>
        <v>10632.8115</v>
      </c>
      <c r="N429" s="18" t="n">
        <f aca="false">J429*IFERROR(INDEX(Calculations!$C$6:$C$27,MATCH(H429,Calculations!$A$6:$A$27,0)),0)</f>
        <v>7200</v>
      </c>
      <c r="O429" s="18" t="n">
        <f aca="false">M429-N429</f>
        <v>3432.8115</v>
      </c>
      <c r="P429" s="18" t="n">
        <f aca="false">M429*IFERROR(INDEX(Calculations!$F$6:$F$11,MATCH(I429,Calculations!$E$6:$E$11,0)),0.1)</f>
        <v>850.62492</v>
      </c>
      <c r="Q429" s="18" t="n">
        <f aca="false">O429-P429</f>
        <v>2582.18658</v>
      </c>
      <c r="R429" s="14" t="s">
        <v>130</v>
      </c>
      <c r="S429" s="14" t="s">
        <v>125</v>
      </c>
    </row>
    <row r="430" customFormat="false" ht="15" hidden="false" customHeight="false" outlineLevel="0" collapsed="false">
      <c r="A430" s="14" t="s">
        <v>966</v>
      </c>
      <c r="B430" s="15" t="n">
        <v>46149</v>
      </c>
      <c r="C430" s="14" t="s">
        <v>601</v>
      </c>
      <c r="D430" s="14" t="s">
        <v>602</v>
      </c>
      <c r="E430" s="14" t="s">
        <v>139</v>
      </c>
      <c r="F430" s="14" t="s">
        <v>152</v>
      </c>
      <c r="G430" s="14" t="s">
        <v>147</v>
      </c>
      <c r="H430" s="14" t="s">
        <v>70</v>
      </c>
      <c r="I430" s="14" t="str">
        <f aca="false">IFERROR(INDEX(Calculations!$B$6:$B$27,MATCH(H430,Calculations!$A$6:$A$27,0)),"Unknown")</f>
        <v>Smart Home</v>
      </c>
      <c r="J430" s="14" t="n">
        <v>6</v>
      </c>
      <c r="K430" s="16" t="n">
        <v>3871.81</v>
      </c>
      <c r="L430" s="17" t="n">
        <v>0.15</v>
      </c>
      <c r="M430" s="18" t="n">
        <f aca="false">J430*K430*(1-L430)</f>
        <v>19746.231</v>
      </c>
      <c r="N430" s="18" t="n">
        <f aca="false">J430*IFERROR(INDEX(Calculations!$C$6:$C$27,MATCH(H430,Calculations!$A$6:$A$27,0)),0)</f>
        <v>13200</v>
      </c>
      <c r="O430" s="18" t="n">
        <f aca="false">M430-N430</f>
        <v>6546.231</v>
      </c>
      <c r="P430" s="18" t="n">
        <f aca="false">M430*IFERROR(INDEX(Calculations!$F$6:$F$11,MATCH(I430,Calculations!$E$6:$E$11,0)),0.1)</f>
        <v>2172.08541</v>
      </c>
      <c r="Q430" s="18" t="n">
        <f aca="false">O430-P430</f>
        <v>4374.14559</v>
      </c>
      <c r="R430" s="14" t="s">
        <v>165</v>
      </c>
      <c r="S430" s="14" t="s">
        <v>125</v>
      </c>
    </row>
    <row r="431" customFormat="false" ht="15" hidden="false" customHeight="false" outlineLevel="0" collapsed="false">
      <c r="A431" s="14" t="s">
        <v>967</v>
      </c>
      <c r="B431" s="15" t="n">
        <v>46150</v>
      </c>
      <c r="C431" s="14" t="s">
        <v>338</v>
      </c>
      <c r="D431" s="14" t="s">
        <v>339</v>
      </c>
      <c r="E431" s="14" t="s">
        <v>194</v>
      </c>
      <c r="F431" s="14" t="s">
        <v>195</v>
      </c>
      <c r="G431" s="14" t="s">
        <v>141</v>
      </c>
      <c r="H431" s="14" t="s">
        <v>74</v>
      </c>
      <c r="I431" s="14" t="str">
        <f aca="false">IFERROR(INDEX(Calculations!$B$6:$B$27,MATCH(H431,Calculations!$A$6:$A$27,0)),"Unknown")</f>
        <v>Wearables</v>
      </c>
      <c r="J431" s="14" t="n">
        <v>2</v>
      </c>
      <c r="K431" s="16" t="n">
        <v>6549.64</v>
      </c>
      <c r="L431" s="17" t="n">
        <v>0</v>
      </c>
      <c r="M431" s="18" t="n">
        <f aca="false">J431*K431*(1-L431)</f>
        <v>13099.28</v>
      </c>
      <c r="N431" s="18" t="n">
        <f aca="false">J431*IFERROR(INDEX(Calculations!$C$6:$C$27,MATCH(H431,Calculations!$A$6:$A$27,0)),0)</f>
        <v>7600</v>
      </c>
      <c r="O431" s="18" t="n">
        <f aca="false">M431-N431</f>
        <v>5499.28</v>
      </c>
      <c r="P431" s="18" t="n">
        <f aca="false">M431*IFERROR(INDEX(Calculations!$F$6:$F$11,MATCH(I431,Calculations!$E$6:$E$11,0)),0.1)</f>
        <v>1178.9352</v>
      </c>
      <c r="Q431" s="18" t="n">
        <f aca="false">O431-P431</f>
        <v>4320.3448</v>
      </c>
      <c r="R431" s="14" t="s">
        <v>124</v>
      </c>
      <c r="S431" s="14" t="s">
        <v>125</v>
      </c>
    </row>
    <row r="432" customFormat="false" ht="15" hidden="false" customHeight="false" outlineLevel="0" collapsed="false">
      <c r="A432" s="14" t="s">
        <v>968</v>
      </c>
      <c r="B432" s="15" t="n">
        <v>46150</v>
      </c>
      <c r="C432" s="14" t="s">
        <v>855</v>
      </c>
      <c r="D432" s="14" t="s">
        <v>856</v>
      </c>
      <c r="E432" s="14" t="s">
        <v>194</v>
      </c>
      <c r="F432" s="14" t="s">
        <v>259</v>
      </c>
      <c r="G432" s="14" t="s">
        <v>123</v>
      </c>
      <c r="H432" s="14" t="s">
        <v>58</v>
      </c>
      <c r="I432" s="14" t="str">
        <f aca="false">IFERROR(INDEX(Calculations!$B$6:$B$27,MATCH(H432,Calculations!$A$6:$A$27,0)),"Unknown")</f>
        <v>Mobile Accessories</v>
      </c>
      <c r="J432" s="14" t="n">
        <v>1</v>
      </c>
      <c r="K432" s="16" t="n">
        <v>490.54</v>
      </c>
      <c r="L432" s="17" t="n">
        <v>0.05</v>
      </c>
      <c r="M432" s="18" t="n">
        <f aca="false">J432*K432*(1-L432)</f>
        <v>466.013</v>
      </c>
      <c r="N432" s="18" t="n">
        <f aca="false">J432*IFERROR(INDEX(Calculations!$C$6:$C$27,MATCH(H432,Calculations!$A$6:$A$27,0)),0)</f>
        <v>220</v>
      </c>
      <c r="O432" s="18" t="n">
        <f aca="false">M432-N432</f>
        <v>246.013</v>
      </c>
      <c r="P432" s="18" t="n">
        <f aca="false">M432*IFERROR(INDEX(Calculations!$F$6:$F$11,MATCH(I432,Calculations!$E$6:$E$11,0)),0.1)</f>
        <v>55.92156</v>
      </c>
      <c r="Q432" s="18" t="n">
        <f aca="false">O432-P432</f>
        <v>190.09144</v>
      </c>
      <c r="R432" s="14" t="s">
        <v>130</v>
      </c>
      <c r="S432" s="14" t="s">
        <v>125</v>
      </c>
    </row>
    <row r="433" customFormat="false" ht="15" hidden="false" customHeight="false" outlineLevel="0" collapsed="false">
      <c r="A433" s="14" t="s">
        <v>969</v>
      </c>
      <c r="B433" s="15" t="n">
        <v>46150</v>
      </c>
      <c r="C433" s="14" t="s">
        <v>507</v>
      </c>
      <c r="D433" s="14" t="s">
        <v>508</v>
      </c>
      <c r="E433" s="14" t="s">
        <v>145</v>
      </c>
      <c r="F433" s="14" t="s">
        <v>146</v>
      </c>
      <c r="G433" s="14" t="s">
        <v>209</v>
      </c>
      <c r="H433" s="14" t="s">
        <v>54</v>
      </c>
      <c r="I433" s="14" t="str">
        <f aca="false">IFERROR(INDEX(Calculations!$B$6:$B$27,MATCH(H433,Calculations!$A$6:$A$27,0)),"Unknown")</f>
        <v>Audio</v>
      </c>
      <c r="J433" s="14" t="n">
        <v>1</v>
      </c>
      <c r="K433" s="16" t="n">
        <v>2907.66</v>
      </c>
      <c r="L433" s="17" t="n">
        <v>0.15</v>
      </c>
      <c r="M433" s="18" t="n">
        <f aca="false">J433*K433*(1-L433)</f>
        <v>2471.511</v>
      </c>
      <c r="N433" s="18" t="n">
        <f aca="false">J433*IFERROR(INDEX(Calculations!$C$6:$C$27,MATCH(H433,Calculations!$A$6:$A$27,0)),0)</f>
        <v>1400</v>
      </c>
      <c r="O433" s="18" t="n">
        <f aca="false">M433-N433</f>
        <v>1071.511</v>
      </c>
      <c r="P433" s="18" t="n">
        <f aca="false">M433*IFERROR(INDEX(Calculations!$F$6:$F$11,MATCH(I433,Calculations!$E$6:$E$11,0)),0.1)</f>
        <v>247.1511</v>
      </c>
      <c r="Q433" s="18" t="n">
        <f aca="false">O433-P433</f>
        <v>824.3599</v>
      </c>
      <c r="R433" s="14" t="s">
        <v>135</v>
      </c>
      <c r="S433" s="14" t="s">
        <v>125</v>
      </c>
    </row>
    <row r="434" customFormat="false" ht="15" hidden="false" customHeight="false" outlineLevel="0" collapsed="false">
      <c r="A434" s="14" t="s">
        <v>970</v>
      </c>
      <c r="B434" s="15" t="n">
        <v>46150</v>
      </c>
      <c r="C434" s="14" t="s">
        <v>781</v>
      </c>
      <c r="D434" s="14" t="s">
        <v>782</v>
      </c>
      <c r="E434" s="14" t="s">
        <v>194</v>
      </c>
      <c r="F434" s="14" t="s">
        <v>195</v>
      </c>
      <c r="G434" s="14" t="s">
        <v>123</v>
      </c>
      <c r="H434" s="14" t="s">
        <v>52</v>
      </c>
      <c r="I434" s="14" t="str">
        <f aca="false">IFERROR(INDEX(Calculations!$B$6:$B$27,MATCH(H434,Calculations!$A$6:$A$27,0)),"Unknown")</f>
        <v>Audio</v>
      </c>
      <c r="J434" s="14" t="n">
        <v>1</v>
      </c>
      <c r="K434" s="16" t="n">
        <v>1883.58</v>
      </c>
      <c r="L434" s="17" t="n">
        <v>0.05</v>
      </c>
      <c r="M434" s="18" t="n">
        <f aca="false">J434*K434*(1-L434)</f>
        <v>1789.401</v>
      </c>
      <c r="N434" s="18" t="n">
        <f aca="false">J434*IFERROR(INDEX(Calculations!$C$6:$C$27,MATCH(H434,Calculations!$A$6:$A$27,0)),0)</f>
        <v>900</v>
      </c>
      <c r="O434" s="18" t="n">
        <f aca="false">M434-N434</f>
        <v>889.401</v>
      </c>
      <c r="P434" s="18" t="n">
        <f aca="false">M434*IFERROR(INDEX(Calculations!$F$6:$F$11,MATCH(I434,Calculations!$E$6:$E$11,0)),0.1)</f>
        <v>178.9401</v>
      </c>
      <c r="Q434" s="18" t="n">
        <f aca="false">O434-P434</f>
        <v>710.4609</v>
      </c>
      <c r="R434" s="14" t="s">
        <v>135</v>
      </c>
      <c r="S434" s="14" t="s">
        <v>125</v>
      </c>
    </row>
    <row r="435" customFormat="false" ht="15" hidden="false" customHeight="false" outlineLevel="0" collapsed="false">
      <c r="A435" s="14" t="s">
        <v>971</v>
      </c>
      <c r="B435" s="15" t="n">
        <v>46150</v>
      </c>
      <c r="C435" s="14" t="s">
        <v>564</v>
      </c>
      <c r="D435" s="14" t="s">
        <v>565</v>
      </c>
      <c r="E435" s="14" t="s">
        <v>145</v>
      </c>
      <c r="F435" s="14" t="s">
        <v>146</v>
      </c>
      <c r="G435" s="14" t="s">
        <v>170</v>
      </c>
      <c r="H435" s="14" t="s">
        <v>64</v>
      </c>
      <c r="I435" s="14" t="str">
        <f aca="false">IFERROR(INDEX(Calculations!$B$6:$B$27,MATCH(H435,Calculations!$A$6:$A$27,0)),"Unknown")</f>
        <v>Computer Peripherals</v>
      </c>
      <c r="J435" s="14" t="n">
        <v>2</v>
      </c>
      <c r="K435" s="16" t="n">
        <v>830.47</v>
      </c>
      <c r="L435" s="17" t="n">
        <v>0.1</v>
      </c>
      <c r="M435" s="18" t="n">
        <f aca="false">J435*K435*(1-L435)</f>
        <v>1494.846</v>
      </c>
      <c r="N435" s="18" t="n">
        <f aca="false">J435*IFERROR(INDEX(Calculations!$C$6:$C$27,MATCH(H435,Calculations!$A$6:$A$27,0)),0)</f>
        <v>700</v>
      </c>
      <c r="O435" s="18" t="n">
        <f aca="false">M435-N435</f>
        <v>794.846</v>
      </c>
      <c r="P435" s="18" t="n">
        <f aca="false">M435*IFERROR(INDEX(Calculations!$F$6:$F$11,MATCH(I435,Calculations!$E$6:$E$11,0)),0.1)</f>
        <v>119.58768</v>
      </c>
      <c r="Q435" s="18" t="n">
        <f aca="false">O435-P435</f>
        <v>675.25832</v>
      </c>
      <c r="R435" s="14" t="s">
        <v>135</v>
      </c>
      <c r="S435" s="14" t="s">
        <v>125</v>
      </c>
    </row>
    <row r="436" customFormat="false" ht="15" hidden="false" customHeight="false" outlineLevel="0" collapsed="false">
      <c r="A436" s="14" t="s">
        <v>972</v>
      </c>
      <c r="B436" s="15" t="n">
        <v>46150</v>
      </c>
      <c r="C436" s="14" t="s">
        <v>537</v>
      </c>
      <c r="D436" s="14" t="s">
        <v>538</v>
      </c>
      <c r="E436" s="14" t="s">
        <v>156</v>
      </c>
      <c r="F436" s="14" t="s">
        <v>169</v>
      </c>
      <c r="G436" s="14" t="s">
        <v>161</v>
      </c>
      <c r="H436" s="14" t="s">
        <v>63</v>
      </c>
      <c r="I436" s="14" t="str">
        <f aca="false">IFERROR(INDEX(Calculations!$B$6:$B$27,MATCH(H436,Calculations!$A$6:$A$27,0)),"Unknown")</f>
        <v>Mobile Accessories</v>
      </c>
      <c r="J436" s="14" t="n">
        <v>2</v>
      </c>
      <c r="K436" s="16" t="n">
        <v>350.61</v>
      </c>
      <c r="L436" s="17" t="n">
        <v>0.15</v>
      </c>
      <c r="M436" s="18" t="n">
        <f aca="false">J436*K436*(1-L436)</f>
        <v>596.037</v>
      </c>
      <c r="N436" s="18" t="n">
        <f aca="false">J436*IFERROR(INDEX(Calculations!$C$6:$C$27,MATCH(H436,Calculations!$A$6:$A$27,0)),0)</f>
        <v>300</v>
      </c>
      <c r="O436" s="18" t="n">
        <f aca="false">M436-N436</f>
        <v>296.037</v>
      </c>
      <c r="P436" s="18" t="n">
        <f aca="false">M436*IFERROR(INDEX(Calculations!$F$6:$F$11,MATCH(I436,Calculations!$E$6:$E$11,0)),0.1)</f>
        <v>71.52444</v>
      </c>
      <c r="Q436" s="18" t="n">
        <f aca="false">O436-P436</f>
        <v>224.51256</v>
      </c>
      <c r="R436" s="14" t="s">
        <v>130</v>
      </c>
      <c r="S436" s="14" t="s">
        <v>125</v>
      </c>
    </row>
    <row r="437" customFormat="false" ht="15" hidden="false" customHeight="false" outlineLevel="0" collapsed="false">
      <c r="A437" s="14" t="s">
        <v>973</v>
      </c>
      <c r="B437" s="15" t="n">
        <v>46151</v>
      </c>
      <c r="C437" s="14" t="s">
        <v>974</v>
      </c>
      <c r="D437" s="14" t="s">
        <v>975</v>
      </c>
      <c r="E437" s="14" t="s">
        <v>194</v>
      </c>
      <c r="F437" s="14" t="s">
        <v>259</v>
      </c>
      <c r="G437" s="14" t="s">
        <v>161</v>
      </c>
      <c r="H437" s="14" t="s">
        <v>70</v>
      </c>
      <c r="I437" s="14" t="str">
        <f aca="false">IFERROR(INDEX(Calculations!$B$6:$B$27,MATCH(H437,Calculations!$A$6:$A$27,0)),"Unknown")</f>
        <v>Smart Home</v>
      </c>
      <c r="J437" s="14" t="n">
        <v>4</v>
      </c>
      <c r="K437" s="16" t="n">
        <v>4038.43</v>
      </c>
      <c r="L437" s="17" t="n">
        <v>0.1</v>
      </c>
      <c r="M437" s="18" t="n">
        <f aca="false">J437*K437*(1-L437)</f>
        <v>14538.348</v>
      </c>
      <c r="N437" s="18" t="n">
        <f aca="false">J437*IFERROR(INDEX(Calculations!$C$6:$C$27,MATCH(H437,Calculations!$A$6:$A$27,0)),0)</f>
        <v>8800</v>
      </c>
      <c r="O437" s="18" t="n">
        <f aca="false">M437-N437</f>
        <v>5738.348</v>
      </c>
      <c r="P437" s="18" t="n">
        <f aca="false">M437*IFERROR(INDEX(Calculations!$F$6:$F$11,MATCH(I437,Calculations!$E$6:$E$11,0)),0.1)</f>
        <v>1599.21828</v>
      </c>
      <c r="Q437" s="18" t="n">
        <f aca="false">O437-P437</f>
        <v>4139.12972</v>
      </c>
      <c r="R437" s="14" t="s">
        <v>130</v>
      </c>
      <c r="S437" s="14" t="s">
        <v>125</v>
      </c>
    </row>
    <row r="438" customFormat="false" ht="15" hidden="false" customHeight="false" outlineLevel="0" collapsed="false">
      <c r="A438" s="14" t="s">
        <v>976</v>
      </c>
      <c r="B438" s="15" t="n">
        <v>46151</v>
      </c>
      <c r="C438" s="14" t="s">
        <v>315</v>
      </c>
      <c r="D438" s="14" t="s">
        <v>316</v>
      </c>
      <c r="E438" s="14" t="s">
        <v>194</v>
      </c>
      <c r="F438" s="14" t="s">
        <v>259</v>
      </c>
      <c r="G438" s="14" t="s">
        <v>170</v>
      </c>
      <c r="H438" s="14" t="s">
        <v>52</v>
      </c>
      <c r="I438" s="14" t="str">
        <f aca="false">IFERROR(INDEX(Calculations!$B$6:$B$27,MATCH(H438,Calculations!$A$6:$A$27,0)),"Unknown")</f>
        <v>Audio</v>
      </c>
      <c r="J438" s="14" t="n">
        <v>3</v>
      </c>
      <c r="K438" s="16" t="n">
        <v>1834.15</v>
      </c>
      <c r="L438" s="17" t="n">
        <v>0.1</v>
      </c>
      <c r="M438" s="18" t="n">
        <f aca="false">J438*K438*(1-L438)</f>
        <v>4952.205</v>
      </c>
      <c r="N438" s="18" t="n">
        <f aca="false">J438*IFERROR(INDEX(Calculations!$C$6:$C$27,MATCH(H438,Calculations!$A$6:$A$27,0)),0)</f>
        <v>2700</v>
      </c>
      <c r="O438" s="18" t="n">
        <f aca="false">M438-N438</f>
        <v>2252.205</v>
      </c>
      <c r="P438" s="18" t="n">
        <f aca="false">M438*IFERROR(INDEX(Calculations!$F$6:$F$11,MATCH(I438,Calculations!$E$6:$E$11,0)),0.1)</f>
        <v>495.2205</v>
      </c>
      <c r="Q438" s="18" t="n">
        <f aca="false">O438-P438</f>
        <v>1756.9845</v>
      </c>
      <c r="R438" s="14" t="s">
        <v>130</v>
      </c>
      <c r="S438" s="14" t="s">
        <v>125</v>
      </c>
    </row>
    <row r="439" customFormat="false" ht="15" hidden="false" customHeight="false" outlineLevel="0" collapsed="false">
      <c r="A439" s="14" t="s">
        <v>977</v>
      </c>
      <c r="B439" s="15" t="n">
        <v>46151</v>
      </c>
      <c r="C439" s="14" t="s">
        <v>978</v>
      </c>
      <c r="D439" s="14" t="s">
        <v>979</v>
      </c>
      <c r="E439" s="14" t="s">
        <v>156</v>
      </c>
      <c r="F439" s="14" t="s">
        <v>169</v>
      </c>
      <c r="G439" s="14" t="s">
        <v>175</v>
      </c>
      <c r="H439" s="14" t="s">
        <v>66</v>
      </c>
      <c r="I439" s="14" t="str">
        <f aca="false">IFERROR(INDEX(Calculations!$B$6:$B$27,MATCH(H439,Calculations!$A$6:$A$27,0)),"Unknown")</f>
        <v>Computer Peripherals</v>
      </c>
      <c r="J439" s="14" t="n">
        <v>1</v>
      </c>
      <c r="K439" s="16" t="n">
        <v>13482.12</v>
      </c>
      <c r="L439" s="17" t="n">
        <v>0</v>
      </c>
      <c r="M439" s="18" t="n">
        <f aca="false">J439*K439*(1-L439)</f>
        <v>13482.12</v>
      </c>
      <c r="N439" s="18" t="n">
        <f aca="false">J439*IFERROR(INDEX(Calculations!$C$6:$C$27,MATCH(H439,Calculations!$A$6:$A$27,0)),0)</f>
        <v>7200</v>
      </c>
      <c r="O439" s="18" t="n">
        <f aca="false">M439-N439</f>
        <v>6282.12</v>
      </c>
      <c r="P439" s="18" t="n">
        <f aca="false">M439*IFERROR(INDEX(Calculations!$F$6:$F$11,MATCH(I439,Calculations!$E$6:$E$11,0)),0.1)</f>
        <v>1078.5696</v>
      </c>
      <c r="Q439" s="18" t="n">
        <f aca="false">O439-P439</f>
        <v>5203.5504</v>
      </c>
      <c r="R439" s="14" t="s">
        <v>130</v>
      </c>
      <c r="S439" s="14" t="s">
        <v>125</v>
      </c>
    </row>
    <row r="440" customFormat="false" ht="15" hidden="false" customHeight="false" outlineLevel="0" collapsed="false">
      <c r="A440" s="14" t="s">
        <v>980</v>
      </c>
      <c r="B440" s="15" t="n">
        <v>46151</v>
      </c>
      <c r="C440" s="14" t="s">
        <v>981</v>
      </c>
      <c r="D440" s="14" t="s">
        <v>982</v>
      </c>
      <c r="E440" s="14" t="s">
        <v>156</v>
      </c>
      <c r="F440" s="14" t="s">
        <v>169</v>
      </c>
      <c r="G440" s="14" t="s">
        <v>123</v>
      </c>
      <c r="H440" s="14" t="s">
        <v>68</v>
      </c>
      <c r="I440" s="14" t="str">
        <f aca="false">IFERROR(INDEX(Calculations!$B$6:$B$27,MATCH(H440,Calculations!$A$6:$A$27,0)),"Unknown")</f>
        <v>Computer Peripherals</v>
      </c>
      <c r="J440" s="14" t="n">
        <v>1</v>
      </c>
      <c r="K440" s="16" t="n">
        <v>972.7</v>
      </c>
      <c r="L440" s="17" t="n">
        <v>0.05</v>
      </c>
      <c r="M440" s="18" t="n">
        <f aca="false">J440*K440*(1-L440)</f>
        <v>924.065</v>
      </c>
      <c r="N440" s="18" t="n">
        <f aca="false">J440*IFERROR(INDEX(Calculations!$C$6:$C$27,MATCH(H440,Calculations!$A$6:$A$27,0)),0)</f>
        <v>500</v>
      </c>
      <c r="O440" s="18" t="n">
        <f aca="false">M440-N440</f>
        <v>424.065</v>
      </c>
      <c r="P440" s="18" t="n">
        <f aca="false">M440*IFERROR(INDEX(Calculations!$F$6:$F$11,MATCH(I440,Calculations!$E$6:$E$11,0)),0.1)</f>
        <v>73.9252</v>
      </c>
      <c r="Q440" s="18" t="n">
        <f aca="false">O440-P440</f>
        <v>350.1398</v>
      </c>
      <c r="R440" s="14" t="s">
        <v>243</v>
      </c>
      <c r="S440" s="14" t="s">
        <v>205</v>
      </c>
    </row>
    <row r="441" customFormat="false" ht="15" hidden="false" customHeight="false" outlineLevel="0" collapsed="false">
      <c r="A441" s="14" t="s">
        <v>983</v>
      </c>
      <c r="B441" s="15" t="n">
        <v>46151</v>
      </c>
      <c r="C441" s="14" t="s">
        <v>984</v>
      </c>
      <c r="D441" s="14" t="s">
        <v>985</v>
      </c>
      <c r="E441" s="14" t="s">
        <v>139</v>
      </c>
      <c r="F441" s="14" t="s">
        <v>152</v>
      </c>
      <c r="G441" s="14" t="s">
        <v>209</v>
      </c>
      <c r="H441" s="14" t="s">
        <v>69</v>
      </c>
      <c r="I441" s="14" t="str">
        <f aca="false">IFERROR(INDEX(Calculations!$B$6:$B$27,MATCH(H441,Calculations!$A$6:$A$27,0)),"Unknown")</f>
        <v>Smart Home</v>
      </c>
      <c r="J441" s="14" t="n">
        <v>1</v>
      </c>
      <c r="K441" s="16" t="n">
        <v>775.64</v>
      </c>
      <c r="L441" s="17" t="n">
        <v>0.1</v>
      </c>
      <c r="M441" s="18" t="n">
        <f aca="false">J441*K441*(1-L441)</f>
        <v>698.076</v>
      </c>
      <c r="N441" s="18" t="n">
        <f aca="false">J441*IFERROR(INDEX(Calculations!$C$6:$C$27,MATCH(H441,Calculations!$A$6:$A$27,0)),0)</f>
        <v>350</v>
      </c>
      <c r="O441" s="18" t="n">
        <f aca="false">M441-N441</f>
        <v>348.076</v>
      </c>
      <c r="P441" s="18" t="n">
        <f aca="false">M441*IFERROR(INDEX(Calculations!$F$6:$F$11,MATCH(I441,Calculations!$E$6:$E$11,0)),0.1)</f>
        <v>76.78836</v>
      </c>
      <c r="Q441" s="18" t="n">
        <f aca="false">O441-P441</f>
        <v>271.28764</v>
      </c>
      <c r="R441" s="14" t="s">
        <v>130</v>
      </c>
      <c r="S441" s="14" t="s">
        <v>125</v>
      </c>
    </row>
    <row r="442" customFormat="false" ht="15" hidden="false" customHeight="false" outlineLevel="0" collapsed="false">
      <c r="A442" s="14" t="s">
        <v>986</v>
      </c>
      <c r="B442" s="15" t="n">
        <v>46153</v>
      </c>
      <c r="C442" s="14" t="s">
        <v>891</v>
      </c>
      <c r="D442" s="14" t="s">
        <v>892</v>
      </c>
      <c r="E442" s="14" t="s">
        <v>121</v>
      </c>
      <c r="F442" s="14" t="s">
        <v>129</v>
      </c>
      <c r="G442" s="14" t="s">
        <v>141</v>
      </c>
      <c r="H442" s="14" t="s">
        <v>67</v>
      </c>
      <c r="I442" s="14" t="str">
        <f aca="false">IFERROR(INDEX(Calculations!$B$6:$B$27,MATCH(H442,Calculations!$A$6:$A$27,0)),"Unknown")</f>
        <v>Computer Peripherals</v>
      </c>
      <c r="J442" s="14" t="n">
        <v>2</v>
      </c>
      <c r="K442" s="16" t="n">
        <v>1868.52</v>
      </c>
      <c r="L442" s="17" t="n">
        <v>0</v>
      </c>
      <c r="M442" s="18" t="n">
        <f aca="false">J442*K442*(1-L442)</f>
        <v>3737.04</v>
      </c>
      <c r="N442" s="18" t="n">
        <f aca="false">J442*IFERROR(INDEX(Calculations!$C$6:$C$27,MATCH(H442,Calculations!$A$6:$A$27,0)),0)</f>
        <v>1800</v>
      </c>
      <c r="O442" s="18" t="n">
        <f aca="false">M442-N442</f>
        <v>1937.04</v>
      </c>
      <c r="P442" s="18" t="n">
        <f aca="false">M442*IFERROR(INDEX(Calculations!$F$6:$F$11,MATCH(I442,Calculations!$E$6:$E$11,0)),0.1)</f>
        <v>298.9632</v>
      </c>
      <c r="Q442" s="18" t="n">
        <f aca="false">O442-P442</f>
        <v>1638.0768</v>
      </c>
      <c r="R442" s="14" t="s">
        <v>243</v>
      </c>
      <c r="S442" s="14" t="s">
        <v>125</v>
      </c>
    </row>
    <row r="443" customFormat="false" ht="15" hidden="false" customHeight="false" outlineLevel="0" collapsed="false">
      <c r="A443" s="14" t="s">
        <v>987</v>
      </c>
      <c r="B443" s="15" t="n">
        <v>46153</v>
      </c>
      <c r="C443" s="14" t="s">
        <v>626</v>
      </c>
      <c r="D443" s="14" t="s">
        <v>627</v>
      </c>
      <c r="E443" s="14" t="s">
        <v>145</v>
      </c>
      <c r="F443" s="14" t="s">
        <v>174</v>
      </c>
      <c r="G443" s="14" t="s">
        <v>123</v>
      </c>
      <c r="H443" s="14" t="s">
        <v>67</v>
      </c>
      <c r="I443" s="14" t="str">
        <f aca="false">IFERROR(INDEX(Calculations!$B$6:$B$27,MATCH(H443,Calculations!$A$6:$A$27,0)),"Unknown")</f>
        <v>Computer Peripherals</v>
      </c>
      <c r="J443" s="14" t="n">
        <v>2</v>
      </c>
      <c r="K443" s="16" t="n">
        <v>1824.86</v>
      </c>
      <c r="L443" s="17" t="n">
        <v>0.1</v>
      </c>
      <c r="M443" s="18" t="n">
        <f aca="false">J443*K443*(1-L443)</f>
        <v>3284.748</v>
      </c>
      <c r="N443" s="18" t="n">
        <f aca="false">J443*IFERROR(INDEX(Calculations!$C$6:$C$27,MATCH(H443,Calculations!$A$6:$A$27,0)),0)</f>
        <v>1800</v>
      </c>
      <c r="O443" s="18" t="n">
        <f aca="false">M443-N443</f>
        <v>1484.748</v>
      </c>
      <c r="P443" s="18" t="n">
        <f aca="false">M443*IFERROR(INDEX(Calculations!$F$6:$F$11,MATCH(I443,Calculations!$E$6:$E$11,0)),0.1)</f>
        <v>262.77984</v>
      </c>
      <c r="Q443" s="18" t="n">
        <f aca="false">O443-P443</f>
        <v>1221.96816</v>
      </c>
      <c r="R443" s="14" t="s">
        <v>130</v>
      </c>
      <c r="S443" s="14" t="s">
        <v>125</v>
      </c>
    </row>
    <row r="444" customFormat="false" ht="15" hidden="false" customHeight="false" outlineLevel="0" collapsed="false">
      <c r="A444" s="14" t="s">
        <v>988</v>
      </c>
      <c r="B444" s="15" t="n">
        <v>46153</v>
      </c>
      <c r="C444" s="14" t="s">
        <v>365</v>
      </c>
      <c r="D444" s="14" t="s">
        <v>366</v>
      </c>
      <c r="E444" s="14" t="s">
        <v>145</v>
      </c>
      <c r="F444" s="14" t="s">
        <v>146</v>
      </c>
      <c r="G444" s="14" t="s">
        <v>134</v>
      </c>
      <c r="H444" s="14" t="s">
        <v>64</v>
      </c>
      <c r="I444" s="14" t="str">
        <f aca="false">IFERROR(INDEX(Calculations!$B$6:$B$27,MATCH(H444,Calculations!$A$6:$A$27,0)),"Unknown")</f>
        <v>Computer Peripherals</v>
      </c>
      <c r="J444" s="14" t="n">
        <v>1</v>
      </c>
      <c r="K444" s="16" t="n">
        <v>796.47</v>
      </c>
      <c r="L444" s="17" t="n">
        <v>0</v>
      </c>
      <c r="M444" s="18" t="n">
        <f aca="false">J444*K444*(1-L444)</f>
        <v>796.47</v>
      </c>
      <c r="N444" s="18" t="n">
        <f aca="false">J444*IFERROR(INDEX(Calculations!$C$6:$C$27,MATCH(H444,Calculations!$A$6:$A$27,0)),0)</f>
        <v>350</v>
      </c>
      <c r="O444" s="18" t="n">
        <f aca="false">M444-N444</f>
        <v>446.47</v>
      </c>
      <c r="P444" s="18" t="n">
        <f aca="false">M444*IFERROR(INDEX(Calculations!$F$6:$F$11,MATCH(I444,Calculations!$E$6:$E$11,0)),0.1)</f>
        <v>63.7176</v>
      </c>
      <c r="Q444" s="18" t="n">
        <f aca="false">O444-P444</f>
        <v>382.7524</v>
      </c>
      <c r="R444" s="14" t="s">
        <v>130</v>
      </c>
      <c r="S444" s="14" t="s">
        <v>205</v>
      </c>
    </row>
    <row r="445" customFormat="false" ht="15" hidden="false" customHeight="false" outlineLevel="0" collapsed="false">
      <c r="A445" s="14" t="s">
        <v>989</v>
      </c>
      <c r="B445" s="15" t="n">
        <v>46154</v>
      </c>
      <c r="C445" s="14" t="s">
        <v>245</v>
      </c>
      <c r="D445" s="14" t="s">
        <v>246</v>
      </c>
      <c r="E445" s="14" t="s">
        <v>145</v>
      </c>
      <c r="F445" s="14" t="s">
        <v>174</v>
      </c>
      <c r="G445" s="14" t="s">
        <v>141</v>
      </c>
      <c r="H445" s="14" t="s">
        <v>67</v>
      </c>
      <c r="I445" s="14" t="str">
        <f aca="false">IFERROR(INDEX(Calculations!$B$6:$B$27,MATCH(H445,Calculations!$A$6:$A$27,0)),"Unknown")</f>
        <v>Computer Peripherals</v>
      </c>
      <c r="J445" s="14" t="n">
        <v>1</v>
      </c>
      <c r="K445" s="16" t="n">
        <v>1767.13</v>
      </c>
      <c r="L445" s="17" t="n">
        <v>0</v>
      </c>
      <c r="M445" s="18" t="n">
        <f aca="false">J445*K445*(1-L445)</f>
        <v>1767.13</v>
      </c>
      <c r="N445" s="18" t="n">
        <f aca="false">J445*IFERROR(INDEX(Calculations!$C$6:$C$27,MATCH(H445,Calculations!$A$6:$A$27,0)),0)</f>
        <v>900</v>
      </c>
      <c r="O445" s="18" t="n">
        <f aca="false">M445-N445</f>
        <v>867.13</v>
      </c>
      <c r="P445" s="18" t="n">
        <f aca="false">M445*IFERROR(INDEX(Calculations!$F$6:$F$11,MATCH(I445,Calculations!$E$6:$E$11,0)),0.1)</f>
        <v>141.3704</v>
      </c>
      <c r="Q445" s="18" t="n">
        <f aca="false">O445-P445</f>
        <v>725.7596</v>
      </c>
      <c r="R445" s="14" t="s">
        <v>124</v>
      </c>
      <c r="S445" s="14" t="s">
        <v>125</v>
      </c>
    </row>
    <row r="446" customFormat="false" ht="15" hidden="false" customHeight="false" outlineLevel="0" collapsed="false">
      <c r="A446" s="14" t="s">
        <v>990</v>
      </c>
      <c r="B446" s="15" t="n">
        <v>46154</v>
      </c>
      <c r="C446" s="14" t="s">
        <v>395</v>
      </c>
      <c r="D446" s="14" t="s">
        <v>396</v>
      </c>
      <c r="E446" s="14" t="s">
        <v>139</v>
      </c>
      <c r="F446" s="14" t="s">
        <v>140</v>
      </c>
      <c r="G446" s="14" t="s">
        <v>134</v>
      </c>
      <c r="H446" s="14" t="s">
        <v>60</v>
      </c>
      <c r="I446" s="14" t="str">
        <f aca="false">IFERROR(INDEX(Calculations!$B$6:$B$27,MATCH(H446,Calculations!$A$6:$A$27,0)),"Unknown")</f>
        <v>Mobile Accessories</v>
      </c>
      <c r="J446" s="14" t="n">
        <v>2</v>
      </c>
      <c r="K446" s="16" t="n">
        <v>241.83</v>
      </c>
      <c r="L446" s="17" t="n">
        <v>0.05</v>
      </c>
      <c r="M446" s="18" t="n">
        <f aca="false">J446*K446*(1-L446)</f>
        <v>459.477</v>
      </c>
      <c r="N446" s="18" t="n">
        <f aca="false">J446*IFERROR(INDEX(Calculations!$C$6:$C$27,MATCH(H446,Calculations!$A$6:$A$27,0)),0)</f>
        <v>180</v>
      </c>
      <c r="O446" s="18" t="n">
        <f aca="false">M446-N446</f>
        <v>279.477</v>
      </c>
      <c r="P446" s="18" t="n">
        <f aca="false">M446*IFERROR(INDEX(Calculations!$F$6:$F$11,MATCH(I446,Calculations!$E$6:$E$11,0)),0.1)</f>
        <v>55.13724</v>
      </c>
      <c r="Q446" s="18" t="n">
        <f aca="false">O446-P446</f>
        <v>224.33976</v>
      </c>
      <c r="R446" s="14" t="s">
        <v>124</v>
      </c>
      <c r="S446" s="14" t="s">
        <v>125</v>
      </c>
    </row>
    <row r="447" customFormat="false" ht="15" hidden="false" customHeight="false" outlineLevel="0" collapsed="false">
      <c r="A447" s="14" t="s">
        <v>991</v>
      </c>
      <c r="B447" s="15" t="n">
        <v>46155</v>
      </c>
      <c r="C447" s="14" t="s">
        <v>321</v>
      </c>
      <c r="D447" s="14" t="s">
        <v>322</v>
      </c>
      <c r="E447" s="14" t="s">
        <v>156</v>
      </c>
      <c r="F447" s="14" t="s">
        <v>157</v>
      </c>
      <c r="G447" s="14" t="s">
        <v>141</v>
      </c>
      <c r="H447" s="14" t="s">
        <v>66</v>
      </c>
      <c r="I447" s="14" t="str">
        <f aca="false">IFERROR(INDEX(Calculations!$B$6:$B$27,MATCH(H447,Calculations!$A$6:$A$27,0)),"Unknown")</f>
        <v>Computer Peripherals</v>
      </c>
      <c r="J447" s="14" t="n">
        <v>3</v>
      </c>
      <c r="K447" s="16" t="n">
        <v>12686.04</v>
      </c>
      <c r="L447" s="17" t="n">
        <v>0.05</v>
      </c>
      <c r="M447" s="18" t="n">
        <f aca="false">J447*K447*(1-L447)</f>
        <v>36155.214</v>
      </c>
      <c r="N447" s="18" t="n">
        <f aca="false">J447*IFERROR(INDEX(Calculations!$C$6:$C$27,MATCH(H447,Calculations!$A$6:$A$27,0)),0)</f>
        <v>21600</v>
      </c>
      <c r="O447" s="18" t="n">
        <f aca="false">M447-N447</f>
        <v>14555.214</v>
      </c>
      <c r="P447" s="18" t="n">
        <f aca="false">M447*IFERROR(INDEX(Calculations!$F$6:$F$11,MATCH(I447,Calculations!$E$6:$E$11,0)),0.1)</f>
        <v>2892.41712</v>
      </c>
      <c r="Q447" s="18" t="n">
        <f aca="false">O447-P447</f>
        <v>11662.79688</v>
      </c>
      <c r="R447" s="14" t="s">
        <v>124</v>
      </c>
      <c r="S447" s="14" t="s">
        <v>125</v>
      </c>
    </row>
    <row r="448" customFormat="false" ht="15" hidden="false" customHeight="false" outlineLevel="0" collapsed="false">
      <c r="A448" s="14" t="s">
        <v>992</v>
      </c>
      <c r="B448" s="15" t="n">
        <v>46155</v>
      </c>
      <c r="C448" s="14" t="s">
        <v>832</v>
      </c>
      <c r="D448" s="14" t="s">
        <v>833</v>
      </c>
      <c r="E448" s="14" t="s">
        <v>121</v>
      </c>
      <c r="F448" s="14" t="s">
        <v>129</v>
      </c>
      <c r="G448" s="14" t="s">
        <v>123</v>
      </c>
      <c r="H448" s="14" t="s">
        <v>70</v>
      </c>
      <c r="I448" s="14" t="str">
        <f aca="false">IFERROR(INDEX(Calculations!$B$6:$B$27,MATCH(H448,Calculations!$A$6:$A$27,0)),"Unknown")</f>
        <v>Smart Home</v>
      </c>
      <c r="J448" s="14" t="n">
        <v>1</v>
      </c>
      <c r="K448" s="16" t="n">
        <v>3867.71</v>
      </c>
      <c r="L448" s="17" t="n">
        <v>0.05</v>
      </c>
      <c r="M448" s="18" t="n">
        <f aca="false">J448*K448*(1-L448)</f>
        <v>3674.3245</v>
      </c>
      <c r="N448" s="18" t="n">
        <f aca="false">J448*IFERROR(INDEX(Calculations!$C$6:$C$27,MATCH(H448,Calculations!$A$6:$A$27,0)),0)</f>
        <v>2200</v>
      </c>
      <c r="O448" s="18" t="n">
        <f aca="false">M448-N448</f>
        <v>1474.3245</v>
      </c>
      <c r="P448" s="18" t="n">
        <f aca="false">M448*IFERROR(INDEX(Calculations!$F$6:$F$11,MATCH(I448,Calculations!$E$6:$E$11,0)),0.1)</f>
        <v>404.175695</v>
      </c>
      <c r="Q448" s="18" t="n">
        <f aca="false">O448-P448</f>
        <v>1070.148805</v>
      </c>
      <c r="R448" s="14" t="s">
        <v>135</v>
      </c>
      <c r="S448" s="14" t="s">
        <v>210</v>
      </c>
    </row>
    <row r="449" customFormat="false" ht="15" hidden="false" customHeight="false" outlineLevel="0" collapsed="false">
      <c r="A449" s="14" t="s">
        <v>993</v>
      </c>
      <c r="B449" s="15" t="n">
        <v>46155</v>
      </c>
      <c r="C449" s="14" t="s">
        <v>614</v>
      </c>
      <c r="D449" s="14" t="s">
        <v>615</v>
      </c>
      <c r="E449" s="14" t="s">
        <v>194</v>
      </c>
      <c r="F449" s="14" t="s">
        <v>195</v>
      </c>
      <c r="G449" s="14" t="s">
        <v>209</v>
      </c>
      <c r="H449" s="14" t="s">
        <v>54</v>
      </c>
      <c r="I449" s="14" t="str">
        <f aca="false">IFERROR(INDEX(Calculations!$B$6:$B$27,MATCH(H449,Calculations!$A$6:$A$27,0)),"Unknown")</f>
        <v>Audio</v>
      </c>
      <c r="J449" s="14" t="n">
        <v>1</v>
      </c>
      <c r="K449" s="16" t="n">
        <v>2875.03</v>
      </c>
      <c r="L449" s="17" t="n">
        <v>0</v>
      </c>
      <c r="M449" s="18" t="n">
        <f aca="false">J449*K449*(1-L449)</f>
        <v>2875.03</v>
      </c>
      <c r="N449" s="18" t="n">
        <f aca="false">J449*IFERROR(INDEX(Calculations!$C$6:$C$27,MATCH(H449,Calculations!$A$6:$A$27,0)),0)</f>
        <v>1400</v>
      </c>
      <c r="O449" s="18" t="n">
        <f aca="false">M449-N449</f>
        <v>1475.03</v>
      </c>
      <c r="P449" s="18" t="n">
        <f aca="false">M449*IFERROR(INDEX(Calculations!$F$6:$F$11,MATCH(I449,Calculations!$E$6:$E$11,0)),0.1)</f>
        <v>287.503</v>
      </c>
      <c r="Q449" s="18" t="n">
        <f aca="false">O449-P449</f>
        <v>1187.527</v>
      </c>
      <c r="R449" s="14" t="s">
        <v>130</v>
      </c>
      <c r="S449" s="14" t="s">
        <v>125</v>
      </c>
    </row>
    <row r="450" customFormat="false" ht="15" hidden="false" customHeight="false" outlineLevel="0" collapsed="false">
      <c r="A450" s="14" t="s">
        <v>994</v>
      </c>
      <c r="B450" s="15" t="n">
        <v>46155</v>
      </c>
      <c r="C450" s="14" t="s">
        <v>143</v>
      </c>
      <c r="D450" s="14" t="s">
        <v>144</v>
      </c>
      <c r="E450" s="14" t="s">
        <v>145</v>
      </c>
      <c r="F450" s="14" t="s">
        <v>146</v>
      </c>
      <c r="G450" s="14" t="s">
        <v>123</v>
      </c>
      <c r="H450" s="14" t="s">
        <v>52</v>
      </c>
      <c r="I450" s="14" t="str">
        <f aca="false">IFERROR(INDEX(Calculations!$B$6:$B$27,MATCH(H450,Calculations!$A$6:$A$27,0)),"Unknown")</f>
        <v>Audio</v>
      </c>
      <c r="J450" s="14" t="n">
        <v>2</v>
      </c>
      <c r="K450" s="16" t="n">
        <v>1918.85</v>
      </c>
      <c r="L450" s="17" t="n">
        <v>0</v>
      </c>
      <c r="M450" s="18" t="n">
        <f aca="false">J450*K450*(1-L450)</f>
        <v>3837.7</v>
      </c>
      <c r="N450" s="18" t="n">
        <f aca="false">J450*IFERROR(INDEX(Calculations!$C$6:$C$27,MATCH(H450,Calculations!$A$6:$A$27,0)),0)</f>
        <v>1800</v>
      </c>
      <c r="O450" s="18" t="n">
        <f aca="false">M450-N450</f>
        <v>2037.7</v>
      </c>
      <c r="P450" s="18" t="n">
        <f aca="false">M450*IFERROR(INDEX(Calculations!$F$6:$F$11,MATCH(I450,Calculations!$E$6:$E$11,0)),0.1)</f>
        <v>383.77</v>
      </c>
      <c r="Q450" s="18" t="n">
        <f aca="false">O450-P450</f>
        <v>1653.93</v>
      </c>
      <c r="R450" s="14" t="s">
        <v>130</v>
      </c>
      <c r="S450" s="14" t="s">
        <v>125</v>
      </c>
    </row>
    <row r="451" customFormat="false" ht="15" hidden="false" customHeight="false" outlineLevel="0" collapsed="false">
      <c r="A451" s="14" t="s">
        <v>995</v>
      </c>
      <c r="B451" s="15" t="n">
        <v>46157</v>
      </c>
      <c r="C451" s="14" t="s">
        <v>687</v>
      </c>
      <c r="D451" s="14" t="s">
        <v>688</v>
      </c>
      <c r="E451" s="14" t="s">
        <v>156</v>
      </c>
      <c r="F451" s="14" t="s">
        <v>157</v>
      </c>
      <c r="G451" s="14" t="s">
        <v>123</v>
      </c>
      <c r="H451" s="14" t="s">
        <v>76</v>
      </c>
      <c r="I451" s="14" t="str">
        <f aca="false">IFERROR(INDEX(Calculations!$B$6:$B$27,MATCH(H451,Calculations!$A$6:$A$27,0)),"Unknown")</f>
        <v>Cameras</v>
      </c>
      <c r="J451" s="14" t="n">
        <v>1</v>
      </c>
      <c r="K451" s="16" t="n">
        <v>7669.56</v>
      </c>
      <c r="L451" s="17" t="n">
        <v>0.1</v>
      </c>
      <c r="M451" s="18" t="n">
        <f aca="false">J451*K451*(1-L451)</f>
        <v>6902.604</v>
      </c>
      <c r="N451" s="18" t="n">
        <f aca="false">J451*IFERROR(INDEX(Calculations!$C$6:$C$27,MATCH(H451,Calculations!$A$6:$A$27,0)),0)</f>
        <v>4200</v>
      </c>
      <c r="O451" s="18" t="n">
        <f aca="false">M451-N451</f>
        <v>2702.604</v>
      </c>
      <c r="P451" s="18" t="n">
        <f aca="false">M451*IFERROR(INDEX(Calculations!$F$6:$F$11,MATCH(I451,Calculations!$E$6:$E$11,0)),0.1)</f>
        <v>517.6953</v>
      </c>
      <c r="Q451" s="18" t="n">
        <f aca="false">O451-P451</f>
        <v>2184.9087</v>
      </c>
      <c r="R451" s="14" t="s">
        <v>130</v>
      </c>
      <c r="S451" s="14" t="s">
        <v>125</v>
      </c>
    </row>
    <row r="452" customFormat="false" ht="15" hidden="false" customHeight="false" outlineLevel="0" collapsed="false">
      <c r="A452" s="14" t="s">
        <v>996</v>
      </c>
      <c r="B452" s="15" t="n">
        <v>46158</v>
      </c>
      <c r="C452" s="14" t="s">
        <v>341</v>
      </c>
      <c r="D452" s="14" t="s">
        <v>342</v>
      </c>
      <c r="E452" s="14" t="s">
        <v>139</v>
      </c>
      <c r="F452" s="14" t="s">
        <v>152</v>
      </c>
      <c r="G452" s="14" t="s">
        <v>209</v>
      </c>
      <c r="H452" s="14" t="s">
        <v>54</v>
      </c>
      <c r="I452" s="14" t="str">
        <f aca="false">IFERROR(INDEX(Calculations!$B$6:$B$27,MATCH(H452,Calculations!$A$6:$A$27,0)),"Unknown")</f>
        <v>Audio</v>
      </c>
      <c r="J452" s="14" t="n">
        <v>1</v>
      </c>
      <c r="K452" s="16" t="n">
        <v>2809.67</v>
      </c>
      <c r="L452" s="17" t="n">
        <v>0.05</v>
      </c>
      <c r="M452" s="18" t="n">
        <f aca="false">J452*K452*(1-L452)</f>
        <v>2669.1865</v>
      </c>
      <c r="N452" s="18" t="n">
        <f aca="false">J452*IFERROR(INDEX(Calculations!$C$6:$C$27,MATCH(H452,Calculations!$A$6:$A$27,0)),0)</f>
        <v>1400</v>
      </c>
      <c r="O452" s="18" t="n">
        <f aca="false">M452-N452</f>
        <v>1269.1865</v>
      </c>
      <c r="P452" s="18" t="n">
        <f aca="false">M452*IFERROR(INDEX(Calculations!$F$6:$F$11,MATCH(I452,Calculations!$E$6:$E$11,0)),0.1)</f>
        <v>266.91865</v>
      </c>
      <c r="Q452" s="18" t="n">
        <f aca="false">O452-P452</f>
        <v>1002.26785</v>
      </c>
      <c r="R452" s="14" t="s">
        <v>135</v>
      </c>
      <c r="S452" s="14" t="s">
        <v>125</v>
      </c>
    </row>
    <row r="453" customFormat="false" ht="15" hidden="false" customHeight="false" outlineLevel="0" collapsed="false">
      <c r="A453" s="14" t="s">
        <v>997</v>
      </c>
      <c r="B453" s="15" t="n">
        <v>46158</v>
      </c>
      <c r="C453" s="14" t="s">
        <v>778</v>
      </c>
      <c r="D453" s="14" t="s">
        <v>779</v>
      </c>
      <c r="E453" s="14" t="s">
        <v>194</v>
      </c>
      <c r="F453" s="14" t="s">
        <v>195</v>
      </c>
      <c r="G453" s="14" t="s">
        <v>170</v>
      </c>
      <c r="H453" s="14" t="s">
        <v>75</v>
      </c>
      <c r="I453" s="14" t="str">
        <f aca="false">IFERROR(INDEX(Calculations!$B$6:$B$27,MATCH(H453,Calculations!$A$6:$A$27,0)),"Unknown")</f>
        <v>Wearables</v>
      </c>
      <c r="J453" s="14" t="n">
        <v>2</v>
      </c>
      <c r="K453" s="16" t="n">
        <v>3333.8</v>
      </c>
      <c r="L453" s="17" t="n">
        <v>0.05</v>
      </c>
      <c r="M453" s="18" t="n">
        <f aca="false">J453*K453*(1-L453)</f>
        <v>6334.22</v>
      </c>
      <c r="N453" s="18" t="n">
        <f aca="false">J453*IFERROR(INDEX(Calculations!$C$6:$C$27,MATCH(H453,Calculations!$A$6:$A$27,0)),0)</f>
        <v>3800</v>
      </c>
      <c r="O453" s="18" t="n">
        <f aca="false">M453-N453</f>
        <v>2534.22</v>
      </c>
      <c r="P453" s="18" t="n">
        <f aca="false">M453*IFERROR(INDEX(Calculations!$F$6:$F$11,MATCH(I453,Calculations!$E$6:$E$11,0)),0.1)</f>
        <v>570.0798</v>
      </c>
      <c r="Q453" s="18" t="n">
        <f aca="false">O453-P453</f>
        <v>1964.1402</v>
      </c>
      <c r="R453" s="14" t="s">
        <v>130</v>
      </c>
      <c r="S453" s="14" t="s">
        <v>125</v>
      </c>
    </row>
    <row r="454" customFormat="false" ht="15" hidden="false" customHeight="false" outlineLevel="0" collapsed="false">
      <c r="A454" s="14" t="s">
        <v>998</v>
      </c>
      <c r="B454" s="15" t="n">
        <v>46162</v>
      </c>
      <c r="C454" s="14" t="s">
        <v>665</v>
      </c>
      <c r="D454" s="14" t="s">
        <v>666</v>
      </c>
      <c r="E454" s="14" t="s">
        <v>139</v>
      </c>
      <c r="F454" s="14" t="s">
        <v>140</v>
      </c>
      <c r="G454" s="14" t="s">
        <v>123</v>
      </c>
      <c r="H454" s="14" t="s">
        <v>62</v>
      </c>
      <c r="I454" s="14" t="str">
        <f aca="false">IFERROR(INDEX(Calculations!$B$6:$B$27,MATCH(H454,Calculations!$A$6:$A$27,0)),"Unknown")</f>
        <v>Mobile Accessories</v>
      </c>
      <c r="J454" s="14" t="n">
        <v>2</v>
      </c>
      <c r="K454" s="16" t="n">
        <v>335.89</v>
      </c>
      <c r="L454" s="17" t="n">
        <v>0.15</v>
      </c>
      <c r="M454" s="18" t="n">
        <f aca="false">J454*K454*(1-L454)</f>
        <v>571.013</v>
      </c>
      <c r="N454" s="18" t="n">
        <f aca="false">J454*IFERROR(INDEX(Calculations!$C$6:$C$27,MATCH(H454,Calculations!$A$6:$A$27,0)),0)</f>
        <v>260</v>
      </c>
      <c r="O454" s="18" t="n">
        <f aca="false">M454-N454</f>
        <v>311.013</v>
      </c>
      <c r="P454" s="18" t="n">
        <f aca="false">M454*IFERROR(INDEX(Calculations!$F$6:$F$11,MATCH(I454,Calculations!$E$6:$E$11,0)),0.1)</f>
        <v>68.52156</v>
      </c>
      <c r="Q454" s="18" t="n">
        <f aca="false">O454-P454</f>
        <v>242.49144</v>
      </c>
      <c r="R454" s="14" t="s">
        <v>124</v>
      </c>
      <c r="S454" s="14" t="s">
        <v>125</v>
      </c>
    </row>
    <row r="455" customFormat="false" ht="15" hidden="false" customHeight="false" outlineLevel="0" collapsed="false">
      <c r="A455" s="14" t="s">
        <v>999</v>
      </c>
      <c r="B455" s="15" t="n">
        <v>46162</v>
      </c>
      <c r="C455" s="14" t="s">
        <v>598</v>
      </c>
      <c r="D455" s="14" t="s">
        <v>599</v>
      </c>
      <c r="E455" s="14" t="s">
        <v>156</v>
      </c>
      <c r="F455" s="14" t="s">
        <v>169</v>
      </c>
      <c r="G455" s="14" t="s">
        <v>134</v>
      </c>
      <c r="H455" s="14" t="s">
        <v>72</v>
      </c>
      <c r="I455" s="14" t="str">
        <f aca="false">IFERROR(INDEX(Calculations!$B$6:$B$27,MATCH(H455,Calculations!$A$6:$A$27,0)),"Unknown")</f>
        <v>Smart Home</v>
      </c>
      <c r="J455" s="14" t="n">
        <v>1</v>
      </c>
      <c r="K455" s="16" t="n">
        <v>4591.57</v>
      </c>
      <c r="L455" s="17" t="n">
        <v>0</v>
      </c>
      <c r="M455" s="18" t="n">
        <f aca="false">J455*K455*(1-L455)</f>
        <v>4591.57</v>
      </c>
      <c r="N455" s="18" t="n">
        <f aca="false">J455*IFERROR(INDEX(Calculations!$C$6:$C$27,MATCH(H455,Calculations!$A$6:$A$27,0)),0)</f>
        <v>2600</v>
      </c>
      <c r="O455" s="18" t="n">
        <f aca="false">M455-N455</f>
        <v>1991.57</v>
      </c>
      <c r="P455" s="18" t="n">
        <f aca="false">M455*IFERROR(INDEX(Calculations!$F$6:$F$11,MATCH(I455,Calculations!$E$6:$E$11,0)),0.1)</f>
        <v>505.0727</v>
      </c>
      <c r="Q455" s="18" t="n">
        <f aca="false">O455-P455</f>
        <v>1486.4973</v>
      </c>
      <c r="R455" s="14" t="s">
        <v>243</v>
      </c>
      <c r="S455" s="14" t="s">
        <v>148</v>
      </c>
    </row>
    <row r="456" customFormat="false" ht="15" hidden="false" customHeight="false" outlineLevel="0" collapsed="false">
      <c r="A456" s="14" t="s">
        <v>1000</v>
      </c>
      <c r="B456" s="15" t="n">
        <v>46163</v>
      </c>
      <c r="C456" s="14" t="s">
        <v>154</v>
      </c>
      <c r="D456" s="14" t="s">
        <v>155</v>
      </c>
      <c r="E456" s="14" t="s">
        <v>156</v>
      </c>
      <c r="F456" s="14" t="s">
        <v>157</v>
      </c>
      <c r="G456" s="14" t="s">
        <v>209</v>
      </c>
      <c r="H456" s="14" t="s">
        <v>56</v>
      </c>
      <c r="I456" s="14" t="str">
        <f aca="false">IFERROR(INDEX(Calculations!$B$6:$B$27,MATCH(H456,Calculations!$A$6:$A$27,0)),"Unknown")</f>
        <v>Audio</v>
      </c>
      <c r="J456" s="14" t="n">
        <v>1</v>
      </c>
      <c r="K456" s="16" t="n">
        <v>899.63</v>
      </c>
      <c r="L456" s="17" t="n">
        <v>0</v>
      </c>
      <c r="M456" s="18" t="n">
        <f aca="false">J456*K456*(1-L456)</f>
        <v>899.63</v>
      </c>
      <c r="N456" s="18" t="n">
        <f aca="false">J456*IFERROR(INDEX(Calculations!$C$6:$C$27,MATCH(H456,Calculations!$A$6:$A$27,0)),0)</f>
        <v>450</v>
      </c>
      <c r="O456" s="18" t="n">
        <f aca="false">M456-N456</f>
        <v>449.63</v>
      </c>
      <c r="P456" s="18" t="n">
        <f aca="false">M456*IFERROR(INDEX(Calculations!$F$6:$F$11,MATCH(I456,Calculations!$E$6:$E$11,0)),0.1)</f>
        <v>89.963</v>
      </c>
      <c r="Q456" s="18" t="n">
        <f aca="false">O456-P456</f>
        <v>359.667</v>
      </c>
      <c r="R456" s="14" t="s">
        <v>243</v>
      </c>
      <c r="S456" s="14" t="s">
        <v>125</v>
      </c>
    </row>
    <row r="457" customFormat="false" ht="15" hidden="false" customHeight="false" outlineLevel="0" collapsed="false">
      <c r="A457" s="14" t="s">
        <v>1001</v>
      </c>
      <c r="B457" s="15" t="n">
        <v>46164</v>
      </c>
      <c r="C457" s="14" t="s">
        <v>784</v>
      </c>
      <c r="D457" s="14" t="s">
        <v>785</v>
      </c>
      <c r="E457" s="14" t="s">
        <v>121</v>
      </c>
      <c r="F457" s="14" t="s">
        <v>122</v>
      </c>
      <c r="G457" s="14" t="s">
        <v>141</v>
      </c>
      <c r="H457" s="14" t="s">
        <v>63</v>
      </c>
      <c r="I457" s="14" t="str">
        <f aca="false">IFERROR(INDEX(Calculations!$B$6:$B$27,MATCH(H457,Calculations!$A$6:$A$27,0)),"Unknown")</f>
        <v>Mobile Accessories</v>
      </c>
      <c r="J457" s="14" t="n">
        <v>2</v>
      </c>
      <c r="K457" s="16" t="n">
        <v>356.61</v>
      </c>
      <c r="L457" s="17" t="n">
        <v>0.15</v>
      </c>
      <c r="M457" s="18" t="n">
        <f aca="false">J457*K457*(1-L457)</f>
        <v>606.237</v>
      </c>
      <c r="N457" s="18" t="n">
        <f aca="false">J457*IFERROR(INDEX(Calculations!$C$6:$C$27,MATCH(H457,Calculations!$A$6:$A$27,0)),0)</f>
        <v>300</v>
      </c>
      <c r="O457" s="18" t="n">
        <f aca="false">M457-N457</f>
        <v>306.237</v>
      </c>
      <c r="P457" s="18" t="n">
        <f aca="false">M457*IFERROR(INDEX(Calculations!$F$6:$F$11,MATCH(I457,Calculations!$E$6:$E$11,0)),0.1)</f>
        <v>72.74844</v>
      </c>
      <c r="Q457" s="18" t="n">
        <f aca="false">O457-P457</f>
        <v>233.48856</v>
      </c>
      <c r="R457" s="14" t="s">
        <v>130</v>
      </c>
      <c r="S457" s="14" t="s">
        <v>205</v>
      </c>
    </row>
    <row r="458" customFormat="false" ht="15" hidden="false" customHeight="false" outlineLevel="0" collapsed="false">
      <c r="A458" s="14" t="s">
        <v>1002</v>
      </c>
      <c r="B458" s="15" t="n">
        <v>46165</v>
      </c>
      <c r="C458" s="14" t="s">
        <v>437</v>
      </c>
      <c r="D458" s="14" t="s">
        <v>438</v>
      </c>
      <c r="E458" s="14" t="s">
        <v>194</v>
      </c>
      <c r="F458" s="14" t="s">
        <v>259</v>
      </c>
      <c r="G458" s="14" t="s">
        <v>161</v>
      </c>
      <c r="H458" s="14" t="s">
        <v>58</v>
      </c>
      <c r="I458" s="14" t="str">
        <f aca="false">IFERROR(INDEX(Calculations!$B$6:$B$27,MATCH(H458,Calculations!$A$6:$A$27,0)),"Unknown")</f>
        <v>Mobile Accessories</v>
      </c>
      <c r="J458" s="14" t="n">
        <v>2</v>
      </c>
      <c r="K458" s="16" t="n">
        <v>494.02</v>
      </c>
      <c r="L458" s="17" t="n">
        <v>0</v>
      </c>
      <c r="M458" s="18" t="n">
        <f aca="false">J458*K458*(1-L458)</f>
        <v>988.04</v>
      </c>
      <c r="N458" s="18" t="n">
        <f aca="false">J458*IFERROR(INDEX(Calculations!$C$6:$C$27,MATCH(H458,Calculations!$A$6:$A$27,0)),0)</f>
        <v>440</v>
      </c>
      <c r="O458" s="18" t="n">
        <f aca="false">M458-N458</f>
        <v>548.04</v>
      </c>
      <c r="P458" s="18" t="n">
        <f aca="false">M458*IFERROR(INDEX(Calculations!$F$6:$F$11,MATCH(I458,Calculations!$E$6:$E$11,0)),0.1)</f>
        <v>118.5648</v>
      </c>
      <c r="Q458" s="18" t="n">
        <f aca="false">O458-P458</f>
        <v>429.4752</v>
      </c>
      <c r="R458" s="14" t="s">
        <v>165</v>
      </c>
      <c r="S458" s="14" t="s">
        <v>125</v>
      </c>
    </row>
    <row r="459" customFormat="false" ht="15" hidden="false" customHeight="false" outlineLevel="0" collapsed="false">
      <c r="A459" s="14" t="s">
        <v>1003</v>
      </c>
      <c r="B459" s="15" t="n">
        <v>46165</v>
      </c>
      <c r="C459" s="14" t="s">
        <v>1004</v>
      </c>
      <c r="D459" s="14" t="s">
        <v>1005</v>
      </c>
      <c r="E459" s="14" t="s">
        <v>194</v>
      </c>
      <c r="F459" s="14" t="s">
        <v>195</v>
      </c>
      <c r="G459" s="14" t="s">
        <v>134</v>
      </c>
      <c r="H459" s="14" t="s">
        <v>60</v>
      </c>
      <c r="I459" s="14" t="str">
        <f aca="false">IFERROR(INDEX(Calculations!$B$6:$B$27,MATCH(H459,Calculations!$A$6:$A$27,0)),"Unknown")</f>
        <v>Mobile Accessories</v>
      </c>
      <c r="J459" s="14" t="n">
        <v>2</v>
      </c>
      <c r="K459" s="16" t="n">
        <v>254.25</v>
      </c>
      <c r="L459" s="17" t="n">
        <v>0</v>
      </c>
      <c r="M459" s="18" t="n">
        <f aca="false">J459*K459*(1-L459)</f>
        <v>508.5</v>
      </c>
      <c r="N459" s="18" t="n">
        <f aca="false">J459*IFERROR(INDEX(Calculations!$C$6:$C$27,MATCH(H459,Calculations!$A$6:$A$27,0)),0)</f>
        <v>180</v>
      </c>
      <c r="O459" s="18" t="n">
        <f aca="false">M459-N459</f>
        <v>328.5</v>
      </c>
      <c r="P459" s="18" t="n">
        <f aca="false">M459*IFERROR(INDEX(Calculations!$F$6:$F$11,MATCH(I459,Calculations!$E$6:$E$11,0)),0.1)</f>
        <v>61.02</v>
      </c>
      <c r="Q459" s="18" t="n">
        <f aca="false">O459-P459</f>
        <v>267.48</v>
      </c>
      <c r="R459" s="14" t="s">
        <v>135</v>
      </c>
      <c r="S459" s="14" t="s">
        <v>125</v>
      </c>
    </row>
    <row r="460" customFormat="false" ht="15" hidden="false" customHeight="false" outlineLevel="0" collapsed="false">
      <c r="A460" s="14" t="s">
        <v>1006</v>
      </c>
      <c r="B460" s="15" t="n">
        <v>46165</v>
      </c>
      <c r="C460" s="14" t="s">
        <v>844</v>
      </c>
      <c r="D460" s="14" t="s">
        <v>845</v>
      </c>
      <c r="E460" s="14" t="s">
        <v>194</v>
      </c>
      <c r="F460" s="14" t="s">
        <v>195</v>
      </c>
      <c r="G460" s="14" t="s">
        <v>123</v>
      </c>
      <c r="H460" s="14" t="s">
        <v>52</v>
      </c>
      <c r="I460" s="14" t="str">
        <f aca="false">IFERROR(INDEX(Calculations!$B$6:$B$27,MATCH(H460,Calculations!$A$6:$A$27,0)),"Unknown")</f>
        <v>Audio</v>
      </c>
      <c r="J460" s="14" t="n">
        <v>1</v>
      </c>
      <c r="K460" s="16" t="n">
        <v>1831.54</v>
      </c>
      <c r="L460" s="17" t="n">
        <v>0.1</v>
      </c>
      <c r="M460" s="18" t="n">
        <f aca="false">J460*K460*(1-L460)</f>
        <v>1648.386</v>
      </c>
      <c r="N460" s="18" t="n">
        <f aca="false">J460*IFERROR(INDEX(Calculations!$C$6:$C$27,MATCH(H460,Calculations!$A$6:$A$27,0)),0)</f>
        <v>900</v>
      </c>
      <c r="O460" s="18" t="n">
        <f aca="false">M460-N460</f>
        <v>748.386</v>
      </c>
      <c r="P460" s="18" t="n">
        <f aca="false">M460*IFERROR(INDEX(Calculations!$F$6:$F$11,MATCH(I460,Calculations!$E$6:$E$11,0)),0.1)</f>
        <v>164.8386</v>
      </c>
      <c r="Q460" s="18" t="n">
        <f aca="false">O460-P460</f>
        <v>583.5474</v>
      </c>
      <c r="R460" s="14" t="s">
        <v>124</v>
      </c>
      <c r="S460" s="14" t="s">
        <v>210</v>
      </c>
    </row>
    <row r="461" customFormat="false" ht="15" hidden="false" customHeight="false" outlineLevel="0" collapsed="false">
      <c r="A461" s="14" t="s">
        <v>1007</v>
      </c>
      <c r="B461" s="15" t="n">
        <v>46166</v>
      </c>
      <c r="C461" s="14" t="s">
        <v>911</v>
      </c>
      <c r="D461" s="14" t="s">
        <v>912</v>
      </c>
      <c r="E461" s="14" t="s">
        <v>121</v>
      </c>
      <c r="F461" s="14" t="s">
        <v>122</v>
      </c>
      <c r="G461" s="14" t="s">
        <v>123</v>
      </c>
      <c r="H461" s="14" t="s">
        <v>74</v>
      </c>
      <c r="I461" s="14" t="str">
        <f aca="false">IFERROR(INDEX(Calculations!$B$6:$B$27,MATCH(H461,Calculations!$A$6:$A$27,0)),"Unknown")</f>
        <v>Wearables</v>
      </c>
      <c r="J461" s="14" t="n">
        <v>1</v>
      </c>
      <c r="K461" s="16" t="n">
        <v>6341.04</v>
      </c>
      <c r="L461" s="17" t="n">
        <v>0</v>
      </c>
      <c r="M461" s="18" t="n">
        <f aca="false">J461*K461*(1-L461)</f>
        <v>6341.04</v>
      </c>
      <c r="N461" s="18" t="n">
        <f aca="false">J461*IFERROR(INDEX(Calculations!$C$6:$C$27,MATCH(H461,Calculations!$A$6:$A$27,0)),0)</f>
        <v>3800</v>
      </c>
      <c r="O461" s="18" t="n">
        <f aca="false">M461-N461</f>
        <v>2541.04</v>
      </c>
      <c r="P461" s="18" t="n">
        <f aca="false">M461*IFERROR(INDEX(Calculations!$F$6:$F$11,MATCH(I461,Calculations!$E$6:$E$11,0)),0.1)</f>
        <v>570.6936</v>
      </c>
      <c r="Q461" s="18" t="n">
        <f aca="false">O461-P461</f>
        <v>1970.3464</v>
      </c>
      <c r="R461" s="14" t="s">
        <v>135</v>
      </c>
      <c r="S461" s="14" t="s">
        <v>125</v>
      </c>
    </row>
    <row r="462" customFormat="false" ht="15" hidden="false" customHeight="false" outlineLevel="0" collapsed="false">
      <c r="A462" s="14" t="s">
        <v>1008</v>
      </c>
      <c r="B462" s="15" t="n">
        <v>46168</v>
      </c>
      <c r="C462" s="14" t="s">
        <v>1009</v>
      </c>
      <c r="D462" s="14" t="s">
        <v>1010</v>
      </c>
      <c r="E462" s="14" t="s">
        <v>121</v>
      </c>
      <c r="F462" s="14" t="s">
        <v>129</v>
      </c>
      <c r="G462" s="14" t="s">
        <v>134</v>
      </c>
      <c r="H462" s="14" t="s">
        <v>54</v>
      </c>
      <c r="I462" s="14" t="str">
        <f aca="false">IFERROR(INDEX(Calculations!$B$6:$B$27,MATCH(H462,Calculations!$A$6:$A$27,0)),"Unknown")</f>
        <v>Audio</v>
      </c>
      <c r="J462" s="14" t="n">
        <v>5</v>
      </c>
      <c r="K462" s="16" t="n">
        <v>2756.51</v>
      </c>
      <c r="L462" s="17" t="n">
        <v>0.1</v>
      </c>
      <c r="M462" s="18" t="n">
        <f aca="false">J462*K462*(1-L462)</f>
        <v>12404.295</v>
      </c>
      <c r="N462" s="18" t="n">
        <f aca="false">J462*IFERROR(INDEX(Calculations!$C$6:$C$27,MATCH(H462,Calculations!$A$6:$A$27,0)),0)</f>
        <v>7000</v>
      </c>
      <c r="O462" s="18" t="n">
        <f aca="false">M462-N462</f>
        <v>5404.295</v>
      </c>
      <c r="P462" s="18" t="n">
        <f aca="false">M462*IFERROR(INDEX(Calculations!$F$6:$F$11,MATCH(I462,Calculations!$E$6:$E$11,0)),0.1)</f>
        <v>1240.4295</v>
      </c>
      <c r="Q462" s="18" t="n">
        <f aca="false">O462-P462</f>
        <v>4163.8655</v>
      </c>
      <c r="R462" s="14" t="s">
        <v>135</v>
      </c>
      <c r="S462" s="14" t="s">
        <v>125</v>
      </c>
    </row>
    <row r="463" customFormat="false" ht="15" hidden="false" customHeight="false" outlineLevel="0" collapsed="false">
      <c r="A463" s="14" t="s">
        <v>1011</v>
      </c>
      <c r="B463" s="15" t="n">
        <v>46168</v>
      </c>
      <c r="C463" s="14" t="s">
        <v>528</v>
      </c>
      <c r="D463" s="14" t="s">
        <v>529</v>
      </c>
      <c r="E463" s="14" t="s">
        <v>145</v>
      </c>
      <c r="F463" s="14" t="s">
        <v>146</v>
      </c>
      <c r="G463" s="14" t="s">
        <v>141</v>
      </c>
      <c r="H463" s="14" t="s">
        <v>73</v>
      </c>
      <c r="I463" s="14" t="str">
        <f aca="false">IFERROR(INDEX(Calculations!$B$6:$B$27,MATCH(H463,Calculations!$A$6:$A$27,0)),"Unknown")</f>
        <v>Wearables</v>
      </c>
      <c r="J463" s="14" t="n">
        <v>1</v>
      </c>
      <c r="K463" s="16" t="n">
        <v>2049.46</v>
      </c>
      <c r="L463" s="17" t="n">
        <v>0</v>
      </c>
      <c r="M463" s="18" t="n">
        <f aca="false">J463*K463*(1-L463)</f>
        <v>2049.46</v>
      </c>
      <c r="N463" s="18" t="n">
        <f aca="false">J463*IFERROR(INDEX(Calculations!$C$6:$C$27,MATCH(H463,Calculations!$A$6:$A$27,0)),0)</f>
        <v>1100</v>
      </c>
      <c r="O463" s="18" t="n">
        <f aca="false">M463-N463</f>
        <v>949.46</v>
      </c>
      <c r="P463" s="18" t="n">
        <f aca="false">M463*IFERROR(INDEX(Calculations!$F$6:$F$11,MATCH(I463,Calculations!$E$6:$E$11,0)),0.1)</f>
        <v>184.4514</v>
      </c>
      <c r="Q463" s="18" t="n">
        <f aca="false">O463-P463</f>
        <v>765.0086</v>
      </c>
      <c r="R463" s="14" t="s">
        <v>243</v>
      </c>
      <c r="S463" s="14" t="s">
        <v>125</v>
      </c>
    </row>
    <row r="464" customFormat="false" ht="15" hidden="false" customHeight="false" outlineLevel="0" collapsed="false">
      <c r="A464" s="14" t="s">
        <v>1012</v>
      </c>
      <c r="B464" s="15" t="n">
        <v>46168</v>
      </c>
      <c r="C464" s="14" t="s">
        <v>903</v>
      </c>
      <c r="D464" s="14" t="s">
        <v>904</v>
      </c>
      <c r="E464" s="14" t="s">
        <v>156</v>
      </c>
      <c r="F464" s="14" t="s">
        <v>157</v>
      </c>
      <c r="G464" s="14" t="s">
        <v>175</v>
      </c>
      <c r="H464" s="14" t="s">
        <v>54</v>
      </c>
      <c r="I464" s="14" t="str">
        <f aca="false">IFERROR(INDEX(Calculations!$B$6:$B$27,MATCH(H464,Calculations!$A$6:$A$27,0)),"Unknown")</f>
        <v>Audio</v>
      </c>
      <c r="J464" s="14" t="n">
        <v>2</v>
      </c>
      <c r="K464" s="16" t="n">
        <v>2801.33</v>
      </c>
      <c r="L464" s="17" t="n">
        <v>0.15</v>
      </c>
      <c r="M464" s="18" t="n">
        <f aca="false">J464*K464*(1-L464)</f>
        <v>4762.261</v>
      </c>
      <c r="N464" s="18" t="n">
        <f aca="false">J464*IFERROR(INDEX(Calculations!$C$6:$C$27,MATCH(H464,Calculations!$A$6:$A$27,0)),0)</f>
        <v>2800</v>
      </c>
      <c r="O464" s="18" t="n">
        <f aca="false">M464-N464</f>
        <v>1962.261</v>
      </c>
      <c r="P464" s="18" t="n">
        <f aca="false">M464*IFERROR(INDEX(Calculations!$F$6:$F$11,MATCH(I464,Calculations!$E$6:$E$11,0)),0.1)</f>
        <v>476.2261</v>
      </c>
      <c r="Q464" s="18" t="n">
        <f aca="false">O464-P464</f>
        <v>1486.0349</v>
      </c>
      <c r="R464" s="14" t="s">
        <v>243</v>
      </c>
      <c r="S464" s="14" t="s">
        <v>125</v>
      </c>
    </row>
    <row r="465" customFormat="false" ht="15" hidden="false" customHeight="false" outlineLevel="0" collapsed="false">
      <c r="A465" s="14" t="s">
        <v>1013</v>
      </c>
      <c r="B465" s="15" t="n">
        <v>46169</v>
      </c>
      <c r="C465" s="14" t="s">
        <v>321</v>
      </c>
      <c r="D465" s="14" t="s">
        <v>322</v>
      </c>
      <c r="E465" s="14" t="s">
        <v>156</v>
      </c>
      <c r="F465" s="14" t="s">
        <v>157</v>
      </c>
      <c r="G465" s="14" t="s">
        <v>161</v>
      </c>
      <c r="H465" s="14" t="s">
        <v>64</v>
      </c>
      <c r="I465" s="14" t="str">
        <f aca="false">IFERROR(INDEX(Calculations!$B$6:$B$27,MATCH(H465,Calculations!$A$6:$A$27,0)),"Unknown")</f>
        <v>Computer Peripherals</v>
      </c>
      <c r="J465" s="14" t="n">
        <v>2</v>
      </c>
      <c r="K465" s="16" t="n">
        <v>774.57</v>
      </c>
      <c r="L465" s="17" t="n">
        <v>0</v>
      </c>
      <c r="M465" s="18" t="n">
        <f aca="false">J465*K465*(1-L465)</f>
        <v>1549.14</v>
      </c>
      <c r="N465" s="18" t="n">
        <f aca="false">J465*IFERROR(INDEX(Calculations!$C$6:$C$27,MATCH(H465,Calculations!$A$6:$A$27,0)),0)</f>
        <v>700</v>
      </c>
      <c r="O465" s="18" t="n">
        <f aca="false">M465-N465</f>
        <v>849.14</v>
      </c>
      <c r="P465" s="18" t="n">
        <f aca="false">M465*IFERROR(INDEX(Calculations!$F$6:$F$11,MATCH(I465,Calculations!$E$6:$E$11,0)),0.1)</f>
        <v>123.9312</v>
      </c>
      <c r="Q465" s="18" t="n">
        <f aca="false">O465-P465</f>
        <v>725.2088</v>
      </c>
      <c r="R465" s="14" t="s">
        <v>135</v>
      </c>
      <c r="S465" s="14" t="s">
        <v>125</v>
      </c>
    </row>
    <row r="466" customFormat="false" ht="15" hidden="false" customHeight="false" outlineLevel="0" collapsed="false">
      <c r="A466" s="14" t="s">
        <v>1014</v>
      </c>
      <c r="B466" s="15" t="n">
        <v>46171</v>
      </c>
      <c r="C466" s="14" t="s">
        <v>942</v>
      </c>
      <c r="D466" s="14" t="s">
        <v>943</v>
      </c>
      <c r="E466" s="14" t="s">
        <v>194</v>
      </c>
      <c r="F466" s="14" t="s">
        <v>195</v>
      </c>
      <c r="G466" s="14" t="s">
        <v>141</v>
      </c>
      <c r="H466" s="14" t="s">
        <v>63</v>
      </c>
      <c r="I466" s="14" t="str">
        <f aca="false">IFERROR(INDEX(Calculations!$B$6:$B$27,MATCH(H466,Calculations!$A$6:$A$27,0)),"Unknown")</f>
        <v>Mobile Accessories</v>
      </c>
      <c r="J466" s="14" t="n">
        <v>1</v>
      </c>
      <c r="K466" s="16" t="n">
        <v>342.45</v>
      </c>
      <c r="L466" s="17" t="n">
        <v>0</v>
      </c>
      <c r="M466" s="18" t="n">
        <f aca="false">J466*K466*(1-L466)</f>
        <v>342.45</v>
      </c>
      <c r="N466" s="18" t="n">
        <f aca="false">J466*IFERROR(INDEX(Calculations!$C$6:$C$27,MATCH(H466,Calculations!$A$6:$A$27,0)),0)</f>
        <v>150</v>
      </c>
      <c r="O466" s="18" t="n">
        <f aca="false">M466-N466</f>
        <v>192.45</v>
      </c>
      <c r="P466" s="18" t="n">
        <f aca="false">M466*IFERROR(INDEX(Calculations!$F$6:$F$11,MATCH(I466,Calculations!$E$6:$E$11,0)),0.1)</f>
        <v>41.094</v>
      </c>
      <c r="Q466" s="18" t="n">
        <f aca="false">O466-P466</f>
        <v>151.356</v>
      </c>
      <c r="R466" s="14" t="s">
        <v>124</v>
      </c>
      <c r="S466" s="14" t="s">
        <v>125</v>
      </c>
    </row>
    <row r="467" customFormat="false" ht="15" hidden="false" customHeight="false" outlineLevel="0" collapsed="false">
      <c r="A467" s="14" t="s">
        <v>1015</v>
      </c>
      <c r="B467" s="15" t="n">
        <v>46172</v>
      </c>
      <c r="C467" s="14" t="s">
        <v>326</v>
      </c>
      <c r="D467" s="14" t="s">
        <v>327</v>
      </c>
      <c r="E467" s="14" t="s">
        <v>194</v>
      </c>
      <c r="F467" s="14" t="s">
        <v>195</v>
      </c>
      <c r="G467" s="14" t="s">
        <v>175</v>
      </c>
      <c r="H467" s="14" t="s">
        <v>64</v>
      </c>
      <c r="I467" s="14" t="str">
        <f aca="false">IFERROR(INDEX(Calculations!$B$6:$B$27,MATCH(H467,Calculations!$A$6:$A$27,0)),"Unknown")</f>
        <v>Computer Peripherals</v>
      </c>
      <c r="J467" s="14" t="n">
        <v>2</v>
      </c>
      <c r="K467" s="16" t="n">
        <v>771.78</v>
      </c>
      <c r="L467" s="17" t="n">
        <v>0.05</v>
      </c>
      <c r="M467" s="18" t="n">
        <f aca="false">J467*K467*(1-L467)</f>
        <v>1466.382</v>
      </c>
      <c r="N467" s="18" t="n">
        <f aca="false">J467*IFERROR(INDEX(Calculations!$C$6:$C$27,MATCH(H467,Calculations!$A$6:$A$27,0)),0)</f>
        <v>700</v>
      </c>
      <c r="O467" s="18" t="n">
        <f aca="false">M467-N467</f>
        <v>766.382</v>
      </c>
      <c r="P467" s="18" t="n">
        <f aca="false">M467*IFERROR(INDEX(Calculations!$F$6:$F$11,MATCH(I467,Calculations!$E$6:$E$11,0)),0.1)</f>
        <v>117.31056</v>
      </c>
      <c r="Q467" s="18" t="n">
        <f aca="false">O467-P467</f>
        <v>649.07144</v>
      </c>
      <c r="R467" s="14" t="s">
        <v>130</v>
      </c>
      <c r="S467" s="14" t="s">
        <v>125</v>
      </c>
    </row>
    <row r="468" customFormat="false" ht="15" hidden="false" customHeight="false" outlineLevel="0" collapsed="false">
      <c r="A468" s="14" t="s">
        <v>1016</v>
      </c>
      <c r="B468" s="15" t="n">
        <v>46173</v>
      </c>
      <c r="C468" s="14" t="s">
        <v>1017</v>
      </c>
      <c r="D468" s="14" t="s">
        <v>1018</v>
      </c>
      <c r="E468" s="14" t="s">
        <v>145</v>
      </c>
      <c r="F468" s="14" t="s">
        <v>146</v>
      </c>
      <c r="G468" s="14" t="s">
        <v>170</v>
      </c>
      <c r="H468" s="14" t="s">
        <v>77</v>
      </c>
      <c r="I468" s="14" t="str">
        <f aca="false">IFERROR(INDEX(Calculations!$B$6:$B$27,MATCH(H468,Calculations!$A$6:$A$27,0)),"Unknown")</f>
        <v>Cameras</v>
      </c>
      <c r="J468" s="14" t="n">
        <v>2</v>
      </c>
      <c r="K468" s="16" t="n">
        <v>5414.72</v>
      </c>
      <c r="L468" s="17" t="n">
        <v>0</v>
      </c>
      <c r="M468" s="18" t="n">
        <f aca="false">J468*K468*(1-L468)</f>
        <v>10829.44</v>
      </c>
      <c r="N468" s="18" t="n">
        <f aca="false">J468*IFERROR(INDEX(Calculations!$C$6:$C$27,MATCH(H468,Calculations!$A$6:$A$27,0)),0)</f>
        <v>6200</v>
      </c>
      <c r="O468" s="18" t="n">
        <f aca="false">M468-N468</f>
        <v>4629.44</v>
      </c>
      <c r="P468" s="18" t="n">
        <f aca="false">M468*IFERROR(INDEX(Calculations!$F$6:$F$11,MATCH(I468,Calculations!$E$6:$E$11,0)),0.1)</f>
        <v>812.208</v>
      </c>
      <c r="Q468" s="18" t="n">
        <f aca="false">O468-P468</f>
        <v>3817.232</v>
      </c>
      <c r="R468" s="14" t="s">
        <v>243</v>
      </c>
      <c r="S468" s="14" t="s">
        <v>125</v>
      </c>
    </row>
    <row r="469" customFormat="false" ht="15" hidden="false" customHeight="false" outlineLevel="0" collapsed="false">
      <c r="A469" s="14" t="s">
        <v>1019</v>
      </c>
      <c r="B469" s="15" t="n">
        <v>46174</v>
      </c>
      <c r="C469" s="14" t="s">
        <v>321</v>
      </c>
      <c r="D469" s="14" t="s">
        <v>322</v>
      </c>
      <c r="E469" s="14" t="s">
        <v>156</v>
      </c>
      <c r="F469" s="14" t="s">
        <v>157</v>
      </c>
      <c r="G469" s="14" t="s">
        <v>170</v>
      </c>
      <c r="H469" s="14" t="s">
        <v>71</v>
      </c>
      <c r="I469" s="14" t="str">
        <f aca="false">IFERROR(INDEX(Calculations!$B$6:$B$27,MATCH(H469,Calculations!$A$6:$A$27,0)),"Unknown")</f>
        <v>Smart Home</v>
      </c>
      <c r="J469" s="14" t="n">
        <v>1</v>
      </c>
      <c r="K469" s="16" t="n">
        <v>925.64</v>
      </c>
      <c r="L469" s="17" t="n">
        <v>0.1</v>
      </c>
      <c r="M469" s="18" t="n">
        <f aca="false">J469*K469*(1-L469)</f>
        <v>833.076</v>
      </c>
      <c r="N469" s="18" t="n">
        <f aca="false">J469*IFERROR(INDEX(Calculations!$C$6:$C$27,MATCH(H469,Calculations!$A$6:$A$27,0)),0)</f>
        <v>450</v>
      </c>
      <c r="O469" s="18" t="n">
        <f aca="false">M469-N469</f>
        <v>383.076</v>
      </c>
      <c r="P469" s="18" t="n">
        <f aca="false">M469*IFERROR(INDEX(Calculations!$F$6:$F$11,MATCH(I469,Calculations!$E$6:$E$11,0)),0.1)</f>
        <v>91.63836</v>
      </c>
      <c r="Q469" s="18" t="n">
        <f aca="false">O469-P469</f>
        <v>291.43764</v>
      </c>
      <c r="R469" s="14" t="s">
        <v>124</v>
      </c>
      <c r="S469" s="14" t="s">
        <v>125</v>
      </c>
    </row>
    <row r="470" customFormat="false" ht="15" hidden="false" customHeight="false" outlineLevel="0" collapsed="false">
      <c r="A470" s="14" t="s">
        <v>1020</v>
      </c>
      <c r="B470" s="15" t="n">
        <v>46174</v>
      </c>
      <c r="C470" s="14" t="s">
        <v>705</v>
      </c>
      <c r="D470" s="14" t="s">
        <v>706</v>
      </c>
      <c r="E470" s="14" t="s">
        <v>156</v>
      </c>
      <c r="F470" s="14" t="s">
        <v>169</v>
      </c>
      <c r="G470" s="14" t="s">
        <v>161</v>
      </c>
      <c r="H470" s="14" t="s">
        <v>76</v>
      </c>
      <c r="I470" s="14" t="str">
        <f aca="false">IFERROR(INDEX(Calculations!$B$6:$B$27,MATCH(H470,Calculations!$A$6:$A$27,0)),"Unknown")</f>
        <v>Cameras</v>
      </c>
      <c r="J470" s="14" t="n">
        <v>1</v>
      </c>
      <c r="K470" s="16" t="n">
        <v>7263.89</v>
      </c>
      <c r="L470" s="17" t="n">
        <v>0</v>
      </c>
      <c r="M470" s="18" t="n">
        <f aca="false">J470*K470*(1-L470)</f>
        <v>7263.89</v>
      </c>
      <c r="N470" s="18" t="n">
        <f aca="false">J470*IFERROR(INDEX(Calculations!$C$6:$C$27,MATCH(H470,Calculations!$A$6:$A$27,0)),0)</f>
        <v>4200</v>
      </c>
      <c r="O470" s="18" t="n">
        <f aca="false">M470-N470</f>
        <v>3063.89</v>
      </c>
      <c r="P470" s="18" t="n">
        <f aca="false">M470*IFERROR(INDEX(Calculations!$F$6:$F$11,MATCH(I470,Calculations!$E$6:$E$11,0)),0.1)</f>
        <v>544.79175</v>
      </c>
      <c r="Q470" s="18" t="n">
        <f aca="false">O470-P470</f>
        <v>2519.09825</v>
      </c>
      <c r="R470" s="14" t="s">
        <v>243</v>
      </c>
      <c r="S470" s="14" t="s">
        <v>125</v>
      </c>
    </row>
    <row r="471" customFormat="false" ht="15" hidden="false" customHeight="false" outlineLevel="0" collapsed="false">
      <c r="A471" s="14" t="s">
        <v>1021</v>
      </c>
      <c r="B471" s="15" t="n">
        <v>46175</v>
      </c>
      <c r="C471" s="14" t="s">
        <v>284</v>
      </c>
      <c r="D471" s="14" t="s">
        <v>285</v>
      </c>
      <c r="E471" s="14" t="s">
        <v>145</v>
      </c>
      <c r="F471" s="14" t="s">
        <v>174</v>
      </c>
      <c r="G471" s="14" t="s">
        <v>175</v>
      </c>
      <c r="H471" s="14" t="s">
        <v>76</v>
      </c>
      <c r="I471" s="14" t="str">
        <f aca="false">IFERROR(INDEX(Calculations!$B$6:$B$27,MATCH(H471,Calculations!$A$6:$A$27,0)),"Unknown")</f>
        <v>Cameras</v>
      </c>
      <c r="J471" s="14" t="n">
        <v>1</v>
      </c>
      <c r="K471" s="16" t="n">
        <v>7399.12</v>
      </c>
      <c r="L471" s="17" t="n">
        <v>0.2</v>
      </c>
      <c r="M471" s="18" t="n">
        <f aca="false">J471*K471*(1-L471)</f>
        <v>5919.296</v>
      </c>
      <c r="N471" s="18" t="n">
        <f aca="false">J471*IFERROR(INDEX(Calculations!$C$6:$C$27,MATCH(H471,Calculations!$A$6:$A$27,0)),0)</f>
        <v>4200</v>
      </c>
      <c r="O471" s="18" t="n">
        <f aca="false">M471-N471</f>
        <v>1719.296</v>
      </c>
      <c r="P471" s="18" t="n">
        <f aca="false">M471*IFERROR(INDEX(Calculations!$F$6:$F$11,MATCH(I471,Calculations!$E$6:$E$11,0)),0.1)</f>
        <v>443.9472</v>
      </c>
      <c r="Q471" s="18" t="n">
        <f aca="false">O471-P471</f>
        <v>1275.3488</v>
      </c>
      <c r="R471" s="14" t="s">
        <v>165</v>
      </c>
      <c r="S471" s="14" t="s">
        <v>125</v>
      </c>
    </row>
    <row r="472" customFormat="false" ht="15" hidden="false" customHeight="false" outlineLevel="0" collapsed="false">
      <c r="A472" s="14" t="s">
        <v>1022</v>
      </c>
      <c r="B472" s="15" t="n">
        <v>46175</v>
      </c>
      <c r="C472" s="14" t="s">
        <v>649</v>
      </c>
      <c r="D472" s="14" t="s">
        <v>650</v>
      </c>
      <c r="E472" s="14" t="s">
        <v>121</v>
      </c>
      <c r="F472" s="14" t="s">
        <v>122</v>
      </c>
      <c r="G472" s="14" t="s">
        <v>175</v>
      </c>
      <c r="H472" s="14" t="s">
        <v>66</v>
      </c>
      <c r="I472" s="14" t="str">
        <f aca="false">IFERROR(INDEX(Calculations!$B$6:$B$27,MATCH(H472,Calculations!$A$6:$A$27,0)),"Unknown")</f>
        <v>Computer Peripherals</v>
      </c>
      <c r="J472" s="14" t="n">
        <v>3</v>
      </c>
      <c r="K472" s="16" t="n">
        <v>13129.37</v>
      </c>
      <c r="L472" s="17" t="n">
        <v>0.15</v>
      </c>
      <c r="M472" s="18" t="n">
        <f aca="false">J472*K472*(1-L472)</f>
        <v>33479.8935</v>
      </c>
      <c r="N472" s="18" t="n">
        <f aca="false">J472*IFERROR(INDEX(Calculations!$C$6:$C$27,MATCH(H472,Calculations!$A$6:$A$27,0)),0)</f>
        <v>21600</v>
      </c>
      <c r="O472" s="18" t="n">
        <f aca="false">M472-N472</f>
        <v>11879.8935</v>
      </c>
      <c r="P472" s="18" t="n">
        <f aca="false">M472*IFERROR(INDEX(Calculations!$F$6:$F$11,MATCH(I472,Calculations!$E$6:$E$11,0)),0.1)</f>
        <v>2678.39148</v>
      </c>
      <c r="Q472" s="18" t="n">
        <f aca="false">O472-P472</f>
        <v>9201.50202</v>
      </c>
      <c r="R472" s="14" t="s">
        <v>130</v>
      </c>
      <c r="S472" s="14" t="s">
        <v>210</v>
      </c>
    </row>
    <row r="473" customFormat="false" ht="15" hidden="false" customHeight="false" outlineLevel="0" collapsed="false">
      <c r="A473" s="14" t="s">
        <v>1023</v>
      </c>
      <c r="B473" s="15" t="n">
        <v>46177</v>
      </c>
      <c r="C473" s="14" t="s">
        <v>150</v>
      </c>
      <c r="D473" s="14" t="s">
        <v>151</v>
      </c>
      <c r="E473" s="14" t="s">
        <v>139</v>
      </c>
      <c r="F473" s="14" t="s">
        <v>152</v>
      </c>
      <c r="G473" s="14" t="s">
        <v>161</v>
      </c>
      <c r="H473" s="14" t="s">
        <v>65</v>
      </c>
      <c r="I473" s="14" t="str">
        <f aca="false">IFERROR(INDEX(Calculations!$B$6:$B$27,MATCH(H473,Calculations!$A$6:$A$27,0)),"Unknown")</f>
        <v>Computer Peripherals</v>
      </c>
      <c r="J473" s="14" t="n">
        <v>2</v>
      </c>
      <c r="K473" s="16" t="n">
        <v>3218.94</v>
      </c>
      <c r="L473" s="17" t="n">
        <v>0</v>
      </c>
      <c r="M473" s="18" t="n">
        <f aca="false">J473*K473*(1-L473)</f>
        <v>6437.88</v>
      </c>
      <c r="N473" s="18" t="n">
        <f aca="false">J473*IFERROR(INDEX(Calculations!$C$6:$C$27,MATCH(H473,Calculations!$A$6:$A$27,0)),0)</f>
        <v>3200</v>
      </c>
      <c r="O473" s="18" t="n">
        <f aca="false">M473-N473</f>
        <v>3237.88</v>
      </c>
      <c r="P473" s="18" t="n">
        <f aca="false">M473*IFERROR(INDEX(Calculations!$F$6:$F$11,MATCH(I473,Calculations!$E$6:$E$11,0)),0.1)</f>
        <v>515.0304</v>
      </c>
      <c r="Q473" s="18" t="n">
        <f aca="false">O473-P473</f>
        <v>2722.8496</v>
      </c>
      <c r="R473" s="14" t="s">
        <v>135</v>
      </c>
      <c r="S473" s="14" t="s">
        <v>125</v>
      </c>
    </row>
    <row r="474" customFormat="false" ht="15" hidden="false" customHeight="false" outlineLevel="0" collapsed="false">
      <c r="A474" s="14" t="s">
        <v>1024</v>
      </c>
      <c r="B474" s="15" t="n">
        <v>46177</v>
      </c>
      <c r="C474" s="14" t="s">
        <v>911</v>
      </c>
      <c r="D474" s="14" t="s">
        <v>912</v>
      </c>
      <c r="E474" s="14" t="s">
        <v>121</v>
      </c>
      <c r="F474" s="14" t="s">
        <v>122</v>
      </c>
      <c r="G474" s="14" t="s">
        <v>161</v>
      </c>
      <c r="H474" s="14" t="s">
        <v>75</v>
      </c>
      <c r="I474" s="14" t="str">
        <f aca="false">IFERROR(INDEX(Calculations!$B$6:$B$27,MATCH(H474,Calculations!$A$6:$A$27,0)),"Unknown")</f>
        <v>Wearables</v>
      </c>
      <c r="J474" s="14" t="n">
        <v>3</v>
      </c>
      <c r="K474" s="16" t="n">
        <v>3349.27</v>
      </c>
      <c r="L474" s="17" t="n">
        <v>0.15</v>
      </c>
      <c r="M474" s="18" t="n">
        <f aca="false">J474*K474*(1-L474)</f>
        <v>8540.6385</v>
      </c>
      <c r="N474" s="18" t="n">
        <f aca="false">J474*IFERROR(INDEX(Calculations!$C$6:$C$27,MATCH(H474,Calculations!$A$6:$A$27,0)),0)</f>
        <v>5700</v>
      </c>
      <c r="O474" s="18" t="n">
        <f aca="false">M474-N474</f>
        <v>2840.6385</v>
      </c>
      <c r="P474" s="18" t="n">
        <f aca="false">M474*IFERROR(INDEX(Calculations!$F$6:$F$11,MATCH(I474,Calculations!$E$6:$E$11,0)),0.1)</f>
        <v>768.657465</v>
      </c>
      <c r="Q474" s="18" t="n">
        <f aca="false">O474-P474</f>
        <v>2071.981035</v>
      </c>
      <c r="R474" s="14" t="s">
        <v>135</v>
      </c>
      <c r="S474" s="14" t="s">
        <v>125</v>
      </c>
    </row>
    <row r="475" customFormat="false" ht="15" hidden="false" customHeight="false" outlineLevel="0" collapsed="false">
      <c r="A475" s="14" t="s">
        <v>1025</v>
      </c>
      <c r="B475" s="15" t="n">
        <v>46177</v>
      </c>
      <c r="C475" s="14" t="s">
        <v>981</v>
      </c>
      <c r="D475" s="14" t="s">
        <v>982</v>
      </c>
      <c r="E475" s="14" t="s">
        <v>156</v>
      </c>
      <c r="F475" s="14" t="s">
        <v>169</v>
      </c>
      <c r="G475" s="14" t="s">
        <v>170</v>
      </c>
      <c r="H475" s="14" t="s">
        <v>73</v>
      </c>
      <c r="I475" s="14" t="str">
        <f aca="false">IFERROR(INDEX(Calculations!$B$6:$B$27,MATCH(H475,Calculations!$A$6:$A$27,0)),"Unknown")</f>
        <v>Wearables</v>
      </c>
      <c r="J475" s="14" t="n">
        <v>5</v>
      </c>
      <c r="K475" s="16" t="n">
        <v>2063.37</v>
      </c>
      <c r="L475" s="17" t="n">
        <v>0.05</v>
      </c>
      <c r="M475" s="18" t="n">
        <f aca="false">J475*K475*(1-L475)</f>
        <v>9801.0075</v>
      </c>
      <c r="N475" s="18" t="n">
        <f aca="false">J475*IFERROR(INDEX(Calculations!$C$6:$C$27,MATCH(H475,Calculations!$A$6:$A$27,0)),0)</f>
        <v>5500</v>
      </c>
      <c r="O475" s="18" t="n">
        <f aca="false">M475-N475</f>
        <v>4301.0075</v>
      </c>
      <c r="P475" s="18" t="n">
        <f aca="false">M475*IFERROR(INDEX(Calculations!$F$6:$F$11,MATCH(I475,Calculations!$E$6:$E$11,0)),0.1)</f>
        <v>882.090675</v>
      </c>
      <c r="Q475" s="18" t="n">
        <f aca="false">O475-P475</f>
        <v>3418.916825</v>
      </c>
      <c r="R475" s="14" t="s">
        <v>243</v>
      </c>
      <c r="S475" s="14" t="s">
        <v>210</v>
      </c>
    </row>
    <row r="476" customFormat="false" ht="15" hidden="false" customHeight="false" outlineLevel="0" collapsed="false">
      <c r="A476" s="14" t="s">
        <v>1026</v>
      </c>
      <c r="B476" s="15" t="n">
        <v>46179</v>
      </c>
      <c r="C476" s="14" t="s">
        <v>784</v>
      </c>
      <c r="D476" s="14" t="s">
        <v>785</v>
      </c>
      <c r="E476" s="14" t="s">
        <v>121</v>
      </c>
      <c r="F476" s="14" t="s">
        <v>122</v>
      </c>
      <c r="G476" s="14" t="s">
        <v>123</v>
      </c>
      <c r="H476" s="14" t="s">
        <v>64</v>
      </c>
      <c r="I476" s="14" t="str">
        <f aca="false">IFERROR(INDEX(Calculations!$B$6:$B$27,MATCH(H476,Calculations!$A$6:$A$27,0)),"Unknown")</f>
        <v>Computer Peripherals</v>
      </c>
      <c r="J476" s="14" t="n">
        <v>1</v>
      </c>
      <c r="K476" s="16" t="n">
        <v>795.48</v>
      </c>
      <c r="L476" s="17" t="n">
        <v>0.15</v>
      </c>
      <c r="M476" s="18" t="n">
        <f aca="false">J476*K476*(1-L476)</f>
        <v>676.158</v>
      </c>
      <c r="N476" s="18" t="n">
        <f aca="false">J476*IFERROR(INDEX(Calculations!$C$6:$C$27,MATCH(H476,Calculations!$A$6:$A$27,0)),0)</f>
        <v>350</v>
      </c>
      <c r="O476" s="18" t="n">
        <f aca="false">M476-N476</f>
        <v>326.158</v>
      </c>
      <c r="P476" s="18" t="n">
        <f aca="false">M476*IFERROR(INDEX(Calculations!$F$6:$F$11,MATCH(I476,Calculations!$E$6:$E$11,0)),0.1)</f>
        <v>54.09264</v>
      </c>
      <c r="Q476" s="18" t="n">
        <f aca="false">O476-P476</f>
        <v>272.06536</v>
      </c>
      <c r="R476" s="14" t="s">
        <v>124</v>
      </c>
      <c r="S476" s="14" t="s">
        <v>125</v>
      </c>
    </row>
    <row r="477" customFormat="false" ht="15" hidden="false" customHeight="false" outlineLevel="0" collapsed="false">
      <c r="A477" s="14" t="s">
        <v>1027</v>
      </c>
      <c r="B477" s="15" t="n">
        <v>46180</v>
      </c>
      <c r="C477" s="14" t="s">
        <v>167</v>
      </c>
      <c r="D477" s="14" t="s">
        <v>168</v>
      </c>
      <c r="E477" s="14" t="s">
        <v>156</v>
      </c>
      <c r="F477" s="14" t="s">
        <v>169</v>
      </c>
      <c r="G477" s="14" t="s">
        <v>170</v>
      </c>
      <c r="H477" s="14" t="s">
        <v>71</v>
      </c>
      <c r="I477" s="14" t="str">
        <f aca="false">IFERROR(INDEX(Calculations!$B$6:$B$27,MATCH(H477,Calculations!$A$6:$A$27,0)),"Unknown")</f>
        <v>Smart Home</v>
      </c>
      <c r="J477" s="14" t="n">
        <v>2</v>
      </c>
      <c r="K477" s="16" t="n">
        <v>878.54</v>
      </c>
      <c r="L477" s="17" t="n">
        <v>0.05</v>
      </c>
      <c r="M477" s="18" t="n">
        <f aca="false">J477*K477*(1-L477)</f>
        <v>1669.226</v>
      </c>
      <c r="N477" s="18" t="n">
        <f aca="false">J477*IFERROR(INDEX(Calculations!$C$6:$C$27,MATCH(H477,Calculations!$A$6:$A$27,0)),0)</f>
        <v>900</v>
      </c>
      <c r="O477" s="18" t="n">
        <f aca="false">M477-N477</f>
        <v>769.226</v>
      </c>
      <c r="P477" s="18" t="n">
        <f aca="false">M477*IFERROR(INDEX(Calculations!$F$6:$F$11,MATCH(I477,Calculations!$E$6:$E$11,0)),0.1)</f>
        <v>183.61486</v>
      </c>
      <c r="Q477" s="18" t="n">
        <f aca="false">O477-P477</f>
        <v>585.61114</v>
      </c>
      <c r="R477" s="14" t="s">
        <v>124</v>
      </c>
      <c r="S477" s="14" t="s">
        <v>125</v>
      </c>
    </row>
    <row r="478" customFormat="false" ht="15" hidden="false" customHeight="false" outlineLevel="0" collapsed="false">
      <c r="A478" s="14" t="s">
        <v>1028</v>
      </c>
      <c r="B478" s="15" t="n">
        <v>46180</v>
      </c>
      <c r="C478" s="14" t="s">
        <v>544</v>
      </c>
      <c r="D478" s="14" t="s">
        <v>545</v>
      </c>
      <c r="E478" s="14" t="s">
        <v>121</v>
      </c>
      <c r="F478" s="14" t="s">
        <v>122</v>
      </c>
      <c r="G478" s="14" t="s">
        <v>134</v>
      </c>
      <c r="H478" s="14" t="s">
        <v>66</v>
      </c>
      <c r="I478" s="14" t="str">
        <f aca="false">IFERROR(INDEX(Calculations!$B$6:$B$27,MATCH(H478,Calculations!$A$6:$A$27,0)),"Unknown")</f>
        <v>Computer Peripherals</v>
      </c>
      <c r="J478" s="14" t="n">
        <v>1</v>
      </c>
      <c r="K478" s="16" t="n">
        <v>13226.08</v>
      </c>
      <c r="L478" s="17" t="n">
        <v>0.1</v>
      </c>
      <c r="M478" s="18" t="n">
        <f aca="false">J478*K478*(1-L478)</f>
        <v>11903.472</v>
      </c>
      <c r="N478" s="18" t="n">
        <f aca="false">J478*IFERROR(INDEX(Calculations!$C$6:$C$27,MATCH(H478,Calculations!$A$6:$A$27,0)),0)</f>
        <v>7200</v>
      </c>
      <c r="O478" s="18" t="n">
        <f aca="false">M478-N478</f>
        <v>4703.472</v>
      </c>
      <c r="P478" s="18" t="n">
        <f aca="false">M478*IFERROR(INDEX(Calculations!$F$6:$F$11,MATCH(I478,Calculations!$E$6:$E$11,0)),0.1)</f>
        <v>952.27776</v>
      </c>
      <c r="Q478" s="18" t="n">
        <f aca="false">O478-P478</f>
        <v>3751.19424</v>
      </c>
      <c r="R478" s="14" t="s">
        <v>243</v>
      </c>
      <c r="S478" s="14" t="s">
        <v>148</v>
      </c>
    </row>
    <row r="479" customFormat="false" ht="15" hidden="false" customHeight="false" outlineLevel="0" collapsed="false">
      <c r="A479" s="14" t="s">
        <v>1029</v>
      </c>
      <c r="B479" s="15" t="n">
        <v>46180</v>
      </c>
      <c r="C479" s="14" t="s">
        <v>227</v>
      </c>
      <c r="D479" s="14" t="s">
        <v>228</v>
      </c>
      <c r="E479" s="14" t="s">
        <v>145</v>
      </c>
      <c r="F479" s="14" t="s">
        <v>146</v>
      </c>
      <c r="G479" s="14" t="s">
        <v>123</v>
      </c>
      <c r="H479" s="14" t="s">
        <v>60</v>
      </c>
      <c r="I479" s="14" t="str">
        <f aca="false">IFERROR(INDEX(Calculations!$B$6:$B$27,MATCH(H479,Calculations!$A$6:$A$27,0)),"Unknown")</f>
        <v>Mobile Accessories</v>
      </c>
      <c r="J479" s="14" t="n">
        <v>1</v>
      </c>
      <c r="K479" s="16" t="n">
        <v>241.06</v>
      </c>
      <c r="L479" s="17" t="n">
        <v>0</v>
      </c>
      <c r="M479" s="18" t="n">
        <f aca="false">J479*K479*(1-L479)</f>
        <v>241.06</v>
      </c>
      <c r="N479" s="18" t="n">
        <f aca="false">J479*IFERROR(INDEX(Calculations!$C$6:$C$27,MATCH(H479,Calculations!$A$6:$A$27,0)),0)</f>
        <v>90</v>
      </c>
      <c r="O479" s="18" t="n">
        <f aca="false">M479-N479</f>
        <v>151.06</v>
      </c>
      <c r="P479" s="18" t="n">
        <f aca="false">M479*IFERROR(INDEX(Calculations!$F$6:$F$11,MATCH(I479,Calculations!$E$6:$E$11,0)),0.1)</f>
        <v>28.9272</v>
      </c>
      <c r="Q479" s="18" t="n">
        <f aca="false">O479-P479</f>
        <v>122.1328</v>
      </c>
      <c r="R479" s="14" t="s">
        <v>130</v>
      </c>
      <c r="S479" s="14" t="s">
        <v>125</v>
      </c>
    </row>
    <row r="480" customFormat="false" ht="15" hidden="false" customHeight="false" outlineLevel="0" collapsed="false">
      <c r="A480" s="14" t="s">
        <v>1030</v>
      </c>
      <c r="B480" s="15" t="n">
        <v>46180</v>
      </c>
      <c r="C480" s="14" t="s">
        <v>386</v>
      </c>
      <c r="D480" s="14" t="s">
        <v>387</v>
      </c>
      <c r="E480" s="14" t="s">
        <v>145</v>
      </c>
      <c r="F480" s="14" t="s">
        <v>146</v>
      </c>
      <c r="G480" s="14" t="s">
        <v>209</v>
      </c>
      <c r="H480" s="14" t="s">
        <v>76</v>
      </c>
      <c r="I480" s="14" t="str">
        <f aca="false">IFERROR(INDEX(Calculations!$B$6:$B$27,MATCH(H480,Calculations!$A$6:$A$27,0)),"Unknown")</f>
        <v>Cameras</v>
      </c>
      <c r="J480" s="14" t="n">
        <v>4</v>
      </c>
      <c r="K480" s="16" t="n">
        <v>7714.2</v>
      </c>
      <c r="L480" s="17" t="n">
        <v>0</v>
      </c>
      <c r="M480" s="18" t="n">
        <f aca="false">J480*K480*(1-L480)</f>
        <v>30856.8</v>
      </c>
      <c r="N480" s="18" t="n">
        <f aca="false">J480*IFERROR(INDEX(Calculations!$C$6:$C$27,MATCH(H480,Calculations!$A$6:$A$27,0)),0)</f>
        <v>16800</v>
      </c>
      <c r="O480" s="18" t="n">
        <f aca="false">M480-N480</f>
        <v>14056.8</v>
      </c>
      <c r="P480" s="18" t="n">
        <f aca="false">M480*IFERROR(INDEX(Calculations!$F$6:$F$11,MATCH(I480,Calculations!$E$6:$E$11,0)),0.1)</f>
        <v>2314.26</v>
      </c>
      <c r="Q480" s="18" t="n">
        <f aca="false">O480-P480</f>
        <v>11742.54</v>
      </c>
      <c r="R480" s="14" t="s">
        <v>124</v>
      </c>
      <c r="S480" s="14" t="s">
        <v>125</v>
      </c>
    </row>
    <row r="481" customFormat="false" ht="15" hidden="false" customHeight="false" outlineLevel="0" collapsed="false">
      <c r="A481" s="14" t="s">
        <v>1031</v>
      </c>
      <c r="B481" s="15" t="n">
        <v>46182</v>
      </c>
      <c r="C481" s="14" t="s">
        <v>218</v>
      </c>
      <c r="D481" s="14" t="s">
        <v>219</v>
      </c>
      <c r="E481" s="14" t="s">
        <v>145</v>
      </c>
      <c r="F481" s="14" t="s">
        <v>174</v>
      </c>
      <c r="G481" s="14" t="s">
        <v>123</v>
      </c>
      <c r="H481" s="14" t="s">
        <v>60</v>
      </c>
      <c r="I481" s="14" t="str">
        <f aca="false">IFERROR(INDEX(Calculations!$B$6:$B$27,MATCH(H481,Calculations!$A$6:$A$27,0)),"Unknown")</f>
        <v>Mobile Accessories</v>
      </c>
      <c r="J481" s="14" t="n">
        <v>4</v>
      </c>
      <c r="K481" s="16" t="n">
        <v>249.3</v>
      </c>
      <c r="L481" s="17" t="n">
        <v>0</v>
      </c>
      <c r="M481" s="18" t="n">
        <f aca="false">J481*K481*(1-L481)</f>
        <v>997.2</v>
      </c>
      <c r="N481" s="18" t="n">
        <f aca="false">J481*IFERROR(INDEX(Calculations!$C$6:$C$27,MATCH(H481,Calculations!$A$6:$A$27,0)),0)</f>
        <v>360</v>
      </c>
      <c r="O481" s="18" t="n">
        <f aca="false">M481-N481</f>
        <v>637.2</v>
      </c>
      <c r="P481" s="18" t="n">
        <f aca="false">M481*IFERROR(INDEX(Calculations!$F$6:$F$11,MATCH(I481,Calculations!$E$6:$E$11,0)),0.1)</f>
        <v>119.664</v>
      </c>
      <c r="Q481" s="18" t="n">
        <f aca="false">O481-P481</f>
        <v>517.536</v>
      </c>
      <c r="R481" s="14" t="s">
        <v>135</v>
      </c>
      <c r="S481" s="14" t="s">
        <v>125</v>
      </c>
    </row>
    <row r="482" customFormat="false" ht="15" hidden="false" customHeight="false" outlineLevel="0" collapsed="false">
      <c r="A482" s="14" t="s">
        <v>1032</v>
      </c>
      <c r="B482" s="15" t="n">
        <v>46182</v>
      </c>
      <c r="C482" s="14" t="s">
        <v>335</v>
      </c>
      <c r="D482" s="14" t="s">
        <v>336</v>
      </c>
      <c r="E482" s="14" t="s">
        <v>194</v>
      </c>
      <c r="F482" s="14" t="s">
        <v>259</v>
      </c>
      <c r="G482" s="14" t="s">
        <v>123</v>
      </c>
      <c r="H482" s="14" t="s">
        <v>68</v>
      </c>
      <c r="I482" s="14" t="str">
        <f aca="false">IFERROR(INDEX(Calculations!$B$6:$B$27,MATCH(H482,Calculations!$A$6:$A$27,0)),"Unknown")</f>
        <v>Computer Peripherals</v>
      </c>
      <c r="J482" s="14" t="n">
        <v>2</v>
      </c>
      <c r="K482" s="16" t="n">
        <v>986.85</v>
      </c>
      <c r="L482" s="17" t="n">
        <v>0.15</v>
      </c>
      <c r="M482" s="18" t="n">
        <f aca="false">J482*K482*(1-L482)</f>
        <v>1677.645</v>
      </c>
      <c r="N482" s="18" t="n">
        <f aca="false">J482*IFERROR(INDEX(Calculations!$C$6:$C$27,MATCH(H482,Calculations!$A$6:$A$27,0)),0)</f>
        <v>1000</v>
      </c>
      <c r="O482" s="18" t="n">
        <f aca="false">M482-N482</f>
        <v>677.645</v>
      </c>
      <c r="P482" s="18" t="n">
        <f aca="false">M482*IFERROR(INDEX(Calculations!$F$6:$F$11,MATCH(I482,Calculations!$E$6:$E$11,0)),0.1)</f>
        <v>134.2116</v>
      </c>
      <c r="Q482" s="18" t="n">
        <f aca="false">O482-P482</f>
        <v>543.4334</v>
      </c>
      <c r="R482" s="14" t="s">
        <v>135</v>
      </c>
      <c r="S482" s="14" t="s">
        <v>210</v>
      </c>
    </row>
    <row r="483" customFormat="false" ht="15" hidden="false" customHeight="false" outlineLevel="0" collapsed="false">
      <c r="A483" s="14" t="s">
        <v>1033</v>
      </c>
      <c r="B483" s="15" t="n">
        <v>46183</v>
      </c>
      <c r="C483" s="14" t="s">
        <v>767</v>
      </c>
      <c r="D483" s="14" t="s">
        <v>768</v>
      </c>
      <c r="E483" s="14" t="s">
        <v>145</v>
      </c>
      <c r="F483" s="14" t="s">
        <v>174</v>
      </c>
      <c r="G483" s="14" t="s">
        <v>123</v>
      </c>
      <c r="H483" s="14" t="s">
        <v>76</v>
      </c>
      <c r="I483" s="14" t="str">
        <f aca="false">IFERROR(INDEX(Calculations!$B$6:$B$27,MATCH(H483,Calculations!$A$6:$A$27,0)),"Unknown")</f>
        <v>Cameras</v>
      </c>
      <c r="J483" s="14" t="n">
        <v>4</v>
      </c>
      <c r="K483" s="16" t="n">
        <v>7241.84</v>
      </c>
      <c r="L483" s="17" t="n">
        <v>0</v>
      </c>
      <c r="M483" s="18" t="n">
        <f aca="false">J483*K483*(1-L483)</f>
        <v>28967.36</v>
      </c>
      <c r="N483" s="18" t="n">
        <f aca="false">J483*IFERROR(INDEX(Calculations!$C$6:$C$27,MATCH(H483,Calculations!$A$6:$A$27,0)),0)</f>
        <v>16800</v>
      </c>
      <c r="O483" s="18" t="n">
        <f aca="false">M483-N483</f>
        <v>12167.36</v>
      </c>
      <c r="P483" s="18" t="n">
        <f aca="false">M483*IFERROR(INDEX(Calculations!$F$6:$F$11,MATCH(I483,Calculations!$E$6:$E$11,0)),0.1)</f>
        <v>2172.552</v>
      </c>
      <c r="Q483" s="18" t="n">
        <f aca="false">O483-P483</f>
        <v>9994.808</v>
      </c>
      <c r="R483" s="14" t="s">
        <v>130</v>
      </c>
      <c r="S483" s="14" t="s">
        <v>125</v>
      </c>
    </row>
    <row r="484" customFormat="false" ht="15" hidden="false" customHeight="false" outlineLevel="0" collapsed="false">
      <c r="A484" s="14" t="s">
        <v>1034</v>
      </c>
      <c r="B484" s="15" t="n">
        <v>46184</v>
      </c>
      <c r="C484" s="14" t="s">
        <v>177</v>
      </c>
      <c r="D484" s="14" t="s">
        <v>178</v>
      </c>
      <c r="E484" s="14" t="s">
        <v>121</v>
      </c>
      <c r="F484" s="14" t="s">
        <v>129</v>
      </c>
      <c r="G484" s="14" t="s">
        <v>175</v>
      </c>
      <c r="H484" s="14" t="s">
        <v>75</v>
      </c>
      <c r="I484" s="14" t="str">
        <f aca="false">IFERROR(INDEX(Calculations!$B$6:$B$27,MATCH(H484,Calculations!$A$6:$A$27,0)),"Unknown")</f>
        <v>Wearables</v>
      </c>
      <c r="J484" s="14" t="n">
        <v>2</v>
      </c>
      <c r="K484" s="16" t="n">
        <v>3340.65</v>
      </c>
      <c r="L484" s="17" t="n">
        <v>0.1</v>
      </c>
      <c r="M484" s="18" t="n">
        <f aca="false">J484*K484*(1-L484)</f>
        <v>6013.17</v>
      </c>
      <c r="N484" s="18" t="n">
        <f aca="false">J484*IFERROR(INDEX(Calculations!$C$6:$C$27,MATCH(H484,Calculations!$A$6:$A$27,0)),0)</f>
        <v>3800</v>
      </c>
      <c r="O484" s="18" t="n">
        <f aca="false">M484-N484</f>
        <v>2213.17</v>
      </c>
      <c r="P484" s="18" t="n">
        <f aca="false">M484*IFERROR(INDEX(Calculations!$F$6:$F$11,MATCH(I484,Calculations!$E$6:$E$11,0)),0.1)</f>
        <v>541.1853</v>
      </c>
      <c r="Q484" s="18" t="n">
        <f aca="false">O484-P484</f>
        <v>1671.9847</v>
      </c>
      <c r="R484" s="14" t="s">
        <v>130</v>
      </c>
      <c r="S484" s="14" t="s">
        <v>125</v>
      </c>
    </row>
    <row r="485" customFormat="false" ht="15" hidden="false" customHeight="false" outlineLevel="0" collapsed="false">
      <c r="A485" s="14" t="s">
        <v>1035</v>
      </c>
      <c r="B485" s="15" t="n">
        <v>46184</v>
      </c>
      <c r="C485" s="14" t="s">
        <v>374</v>
      </c>
      <c r="D485" s="14" t="s">
        <v>375</v>
      </c>
      <c r="E485" s="14" t="s">
        <v>194</v>
      </c>
      <c r="F485" s="14" t="s">
        <v>259</v>
      </c>
      <c r="G485" s="14" t="s">
        <v>123</v>
      </c>
      <c r="H485" s="14" t="s">
        <v>67</v>
      </c>
      <c r="I485" s="14" t="str">
        <f aca="false">IFERROR(INDEX(Calculations!$B$6:$B$27,MATCH(H485,Calculations!$A$6:$A$27,0)),"Unknown")</f>
        <v>Computer Peripherals</v>
      </c>
      <c r="J485" s="14" t="n">
        <v>1</v>
      </c>
      <c r="K485" s="16" t="n">
        <v>1868.09</v>
      </c>
      <c r="L485" s="17" t="n">
        <v>0.2</v>
      </c>
      <c r="M485" s="18" t="n">
        <f aca="false">J485*K485*(1-L485)</f>
        <v>1494.472</v>
      </c>
      <c r="N485" s="18" t="n">
        <f aca="false">J485*IFERROR(INDEX(Calculations!$C$6:$C$27,MATCH(H485,Calculations!$A$6:$A$27,0)),0)</f>
        <v>900</v>
      </c>
      <c r="O485" s="18" t="n">
        <f aca="false">M485-N485</f>
        <v>594.472</v>
      </c>
      <c r="P485" s="18" t="n">
        <f aca="false">M485*IFERROR(INDEX(Calculations!$F$6:$F$11,MATCH(I485,Calculations!$E$6:$E$11,0)),0.1)</f>
        <v>119.55776</v>
      </c>
      <c r="Q485" s="18" t="n">
        <f aca="false">O485-P485</f>
        <v>474.91424</v>
      </c>
      <c r="R485" s="14" t="s">
        <v>130</v>
      </c>
      <c r="S485" s="14" t="s">
        <v>125</v>
      </c>
    </row>
    <row r="486" customFormat="false" ht="15" hidden="false" customHeight="false" outlineLevel="0" collapsed="false">
      <c r="A486" s="14" t="s">
        <v>1036</v>
      </c>
      <c r="B486" s="15" t="n">
        <v>46184</v>
      </c>
      <c r="C486" s="14" t="s">
        <v>662</v>
      </c>
      <c r="D486" s="14" t="s">
        <v>663</v>
      </c>
      <c r="E486" s="14" t="s">
        <v>121</v>
      </c>
      <c r="F486" s="14" t="s">
        <v>129</v>
      </c>
      <c r="G486" s="14" t="s">
        <v>123</v>
      </c>
      <c r="H486" s="14" t="s">
        <v>75</v>
      </c>
      <c r="I486" s="14" t="str">
        <f aca="false">IFERROR(INDEX(Calculations!$B$6:$B$27,MATCH(H486,Calculations!$A$6:$A$27,0)),"Unknown")</f>
        <v>Wearables</v>
      </c>
      <c r="J486" s="14" t="n">
        <v>5</v>
      </c>
      <c r="K486" s="16" t="n">
        <v>3253.18</v>
      </c>
      <c r="L486" s="17" t="n">
        <v>0.1</v>
      </c>
      <c r="M486" s="18" t="n">
        <f aca="false">J486*K486*(1-L486)</f>
        <v>14639.31</v>
      </c>
      <c r="N486" s="18" t="n">
        <f aca="false">J486*IFERROR(INDEX(Calculations!$C$6:$C$27,MATCH(H486,Calculations!$A$6:$A$27,0)),0)</f>
        <v>9500</v>
      </c>
      <c r="O486" s="18" t="n">
        <f aca="false">M486-N486</f>
        <v>5139.31</v>
      </c>
      <c r="P486" s="18" t="n">
        <f aca="false">M486*IFERROR(INDEX(Calculations!$F$6:$F$11,MATCH(I486,Calculations!$E$6:$E$11,0)),0.1)</f>
        <v>1317.5379</v>
      </c>
      <c r="Q486" s="18" t="n">
        <f aca="false">O486-P486</f>
        <v>3821.7721</v>
      </c>
      <c r="R486" s="14" t="s">
        <v>165</v>
      </c>
      <c r="S486" s="14" t="s">
        <v>125</v>
      </c>
    </row>
    <row r="487" customFormat="false" ht="15" hidden="false" customHeight="false" outlineLevel="0" collapsed="false">
      <c r="A487" s="14" t="s">
        <v>1037</v>
      </c>
      <c r="B487" s="15" t="n">
        <v>46184</v>
      </c>
      <c r="C487" s="14" t="s">
        <v>434</v>
      </c>
      <c r="D487" s="14" t="s">
        <v>435</v>
      </c>
      <c r="E487" s="14" t="s">
        <v>139</v>
      </c>
      <c r="F487" s="14" t="s">
        <v>152</v>
      </c>
      <c r="G487" s="14" t="s">
        <v>209</v>
      </c>
      <c r="H487" s="14" t="s">
        <v>65</v>
      </c>
      <c r="I487" s="14" t="str">
        <f aca="false">IFERROR(INDEX(Calculations!$B$6:$B$27,MATCH(H487,Calculations!$A$6:$A$27,0)),"Unknown")</f>
        <v>Computer Peripherals</v>
      </c>
      <c r="J487" s="14" t="n">
        <v>3</v>
      </c>
      <c r="K487" s="16" t="n">
        <v>3151.19</v>
      </c>
      <c r="L487" s="17" t="n">
        <v>0</v>
      </c>
      <c r="M487" s="18" t="n">
        <f aca="false">J487*K487*(1-L487)</f>
        <v>9453.57</v>
      </c>
      <c r="N487" s="18" t="n">
        <f aca="false">J487*IFERROR(INDEX(Calculations!$C$6:$C$27,MATCH(H487,Calculations!$A$6:$A$27,0)),0)</f>
        <v>4800</v>
      </c>
      <c r="O487" s="18" t="n">
        <f aca="false">M487-N487</f>
        <v>4653.57</v>
      </c>
      <c r="P487" s="18" t="n">
        <f aca="false">M487*IFERROR(INDEX(Calculations!$F$6:$F$11,MATCH(I487,Calculations!$E$6:$E$11,0)),0.1)</f>
        <v>756.2856</v>
      </c>
      <c r="Q487" s="18" t="n">
        <f aca="false">O487-P487</f>
        <v>3897.2844</v>
      </c>
      <c r="R487" s="14" t="s">
        <v>130</v>
      </c>
      <c r="S487" s="14" t="s">
        <v>125</v>
      </c>
    </row>
    <row r="488" customFormat="false" ht="15" hidden="false" customHeight="false" outlineLevel="0" collapsed="false">
      <c r="A488" s="14" t="s">
        <v>1038</v>
      </c>
      <c r="B488" s="15" t="n">
        <v>46185</v>
      </c>
      <c r="C488" s="14" t="s">
        <v>784</v>
      </c>
      <c r="D488" s="14" t="s">
        <v>785</v>
      </c>
      <c r="E488" s="14" t="s">
        <v>121</v>
      </c>
      <c r="F488" s="14" t="s">
        <v>122</v>
      </c>
      <c r="G488" s="14" t="s">
        <v>123</v>
      </c>
      <c r="H488" s="14" t="s">
        <v>68</v>
      </c>
      <c r="I488" s="14" t="str">
        <f aca="false">IFERROR(INDEX(Calculations!$B$6:$B$27,MATCH(H488,Calculations!$A$6:$A$27,0)),"Unknown")</f>
        <v>Computer Peripherals</v>
      </c>
      <c r="J488" s="14" t="n">
        <v>1</v>
      </c>
      <c r="K488" s="16" t="n">
        <v>1028.2</v>
      </c>
      <c r="L488" s="17" t="n">
        <v>0</v>
      </c>
      <c r="M488" s="18" t="n">
        <f aca="false">J488*K488*(1-L488)</f>
        <v>1028.2</v>
      </c>
      <c r="N488" s="18" t="n">
        <f aca="false">J488*IFERROR(INDEX(Calculations!$C$6:$C$27,MATCH(H488,Calculations!$A$6:$A$27,0)),0)</f>
        <v>500</v>
      </c>
      <c r="O488" s="18" t="n">
        <f aca="false">M488-N488</f>
        <v>528.2</v>
      </c>
      <c r="P488" s="18" t="n">
        <f aca="false">M488*IFERROR(INDEX(Calculations!$F$6:$F$11,MATCH(I488,Calculations!$E$6:$E$11,0)),0.1)</f>
        <v>82.256</v>
      </c>
      <c r="Q488" s="18" t="n">
        <f aca="false">O488-P488</f>
        <v>445.944</v>
      </c>
      <c r="R488" s="14" t="s">
        <v>130</v>
      </c>
      <c r="S488" s="14" t="s">
        <v>125</v>
      </c>
    </row>
    <row r="489" customFormat="false" ht="15" hidden="false" customHeight="false" outlineLevel="0" collapsed="false">
      <c r="A489" s="14" t="s">
        <v>1039</v>
      </c>
      <c r="B489" s="15" t="n">
        <v>46185</v>
      </c>
      <c r="C489" s="14" t="s">
        <v>371</v>
      </c>
      <c r="D489" s="14" t="s">
        <v>372</v>
      </c>
      <c r="E489" s="14" t="s">
        <v>121</v>
      </c>
      <c r="F489" s="14" t="s">
        <v>129</v>
      </c>
      <c r="G489" s="14" t="s">
        <v>147</v>
      </c>
      <c r="H489" s="14" t="s">
        <v>75</v>
      </c>
      <c r="I489" s="14" t="str">
        <f aca="false">IFERROR(INDEX(Calculations!$B$6:$B$27,MATCH(H489,Calculations!$A$6:$A$27,0)),"Unknown")</f>
        <v>Wearables</v>
      </c>
      <c r="J489" s="14" t="n">
        <v>2</v>
      </c>
      <c r="K489" s="16" t="n">
        <v>3202.8</v>
      </c>
      <c r="L489" s="17" t="n">
        <v>0</v>
      </c>
      <c r="M489" s="18" t="n">
        <f aca="false">J489*K489*(1-L489)</f>
        <v>6405.6</v>
      </c>
      <c r="N489" s="18" t="n">
        <f aca="false">J489*IFERROR(INDEX(Calculations!$C$6:$C$27,MATCH(H489,Calculations!$A$6:$A$27,0)),0)</f>
        <v>3800</v>
      </c>
      <c r="O489" s="18" t="n">
        <f aca="false">M489-N489</f>
        <v>2605.6</v>
      </c>
      <c r="P489" s="18" t="n">
        <f aca="false">M489*IFERROR(INDEX(Calculations!$F$6:$F$11,MATCH(I489,Calculations!$E$6:$E$11,0)),0.1)</f>
        <v>576.504</v>
      </c>
      <c r="Q489" s="18" t="n">
        <f aca="false">O489-P489</f>
        <v>2029.096</v>
      </c>
      <c r="R489" s="14" t="s">
        <v>124</v>
      </c>
      <c r="S489" s="14" t="s">
        <v>210</v>
      </c>
    </row>
    <row r="490" customFormat="false" ht="15" hidden="false" customHeight="false" outlineLevel="0" collapsed="false">
      <c r="A490" s="14" t="s">
        <v>1040</v>
      </c>
      <c r="B490" s="15" t="n">
        <v>46185</v>
      </c>
      <c r="C490" s="14" t="s">
        <v>143</v>
      </c>
      <c r="D490" s="14" t="s">
        <v>144</v>
      </c>
      <c r="E490" s="14" t="s">
        <v>145</v>
      </c>
      <c r="F490" s="14" t="s">
        <v>146</v>
      </c>
      <c r="G490" s="14" t="s">
        <v>175</v>
      </c>
      <c r="H490" s="14" t="s">
        <v>74</v>
      </c>
      <c r="I490" s="14" t="str">
        <f aca="false">IFERROR(INDEX(Calculations!$B$6:$B$27,MATCH(H490,Calculations!$A$6:$A$27,0)),"Unknown")</f>
        <v>Wearables</v>
      </c>
      <c r="J490" s="14" t="n">
        <v>4</v>
      </c>
      <c r="K490" s="16" t="n">
        <v>6339.91</v>
      </c>
      <c r="L490" s="17" t="n">
        <v>0.15</v>
      </c>
      <c r="M490" s="18" t="n">
        <f aca="false">J490*K490*(1-L490)</f>
        <v>21555.694</v>
      </c>
      <c r="N490" s="18" t="n">
        <f aca="false">J490*IFERROR(INDEX(Calculations!$C$6:$C$27,MATCH(H490,Calculations!$A$6:$A$27,0)),0)</f>
        <v>15200</v>
      </c>
      <c r="O490" s="18" t="n">
        <f aca="false">M490-N490</f>
        <v>6355.694</v>
      </c>
      <c r="P490" s="18" t="n">
        <f aca="false">M490*IFERROR(INDEX(Calculations!$F$6:$F$11,MATCH(I490,Calculations!$E$6:$E$11,0)),0.1)</f>
        <v>1940.01246</v>
      </c>
      <c r="Q490" s="18" t="n">
        <f aca="false">O490-P490</f>
        <v>4415.68154</v>
      </c>
      <c r="R490" s="14" t="s">
        <v>243</v>
      </c>
      <c r="S490" s="14" t="s">
        <v>125</v>
      </c>
    </row>
    <row r="491" customFormat="false" ht="15" hidden="false" customHeight="false" outlineLevel="0" collapsed="false">
      <c r="A491" s="14" t="s">
        <v>1041</v>
      </c>
      <c r="B491" s="15" t="n">
        <v>46187</v>
      </c>
      <c r="C491" s="14" t="s">
        <v>307</v>
      </c>
      <c r="D491" s="14" t="s">
        <v>308</v>
      </c>
      <c r="E491" s="14" t="s">
        <v>121</v>
      </c>
      <c r="F491" s="14" t="s">
        <v>129</v>
      </c>
      <c r="G491" s="14" t="s">
        <v>141</v>
      </c>
      <c r="H491" s="14" t="s">
        <v>50</v>
      </c>
      <c r="I491" s="14" t="str">
        <f aca="false">IFERROR(INDEX(Calculations!$B$6:$B$27,MATCH(H491,Calculations!$A$6:$A$27,0)),"Unknown")</f>
        <v>Audio</v>
      </c>
      <c r="J491" s="14" t="n">
        <v>3</v>
      </c>
      <c r="K491" s="16" t="n">
        <v>1271.85</v>
      </c>
      <c r="L491" s="17" t="n">
        <v>0.1</v>
      </c>
      <c r="M491" s="18" t="n">
        <f aca="false">J491*K491*(1-L491)</f>
        <v>3433.995</v>
      </c>
      <c r="N491" s="18" t="n">
        <f aca="false">J491*IFERROR(INDEX(Calculations!$C$6:$C$27,MATCH(H491,Calculations!$A$6:$A$27,0)),0)</f>
        <v>1950</v>
      </c>
      <c r="O491" s="18" t="n">
        <f aca="false">M491-N491</f>
        <v>1483.995</v>
      </c>
      <c r="P491" s="18" t="n">
        <f aca="false">M491*IFERROR(INDEX(Calculations!$F$6:$F$11,MATCH(I491,Calculations!$E$6:$E$11,0)),0.1)</f>
        <v>343.3995</v>
      </c>
      <c r="Q491" s="18" t="n">
        <f aca="false">O491-P491</f>
        <v>1140.5955</v>
      </c>
      <c r="R491" s="14" t="s">
        <v>135</v>
      </c>
      <c r="S491" s="14" t="s">
        <v>125</v>
      </c>
    </row>
    <row r="492" customFormat="false" ht="15" hidden="false" customHeight="false" outlineLevel="0" collapsed="false">
      <c r="A492" s="14" t="s">
        <v>1042</v>
      </c>
      <c r="B492" s="15" t="n">
        <v>46189</v>
      </c>
      <c r="C492" s="14" t="s">
        <v>284</v>
      </c>
      <c r="D492" s="14" t="s">
        <v>285</v>
      </c>
      <c r="E492" s="14" t="s">
        <v>145</v>
      </c>
      <c r="F492" s="14" t="s">
        <v>174</v>
      </c>
      <c r="G492" s="14" t="s">
        <v>141</v>
      </c>
      <c r="H492" s="14" t="s">
        <v>76</v>
      </c>
      <c r="I492" s="14" t="str">
        <f aca="false">IFERROR(INDEX(Calculations!$B$6:$B$27,MATCH(H492,Calculations!$A$6:$A$27,0)),"Unknown")</f>
        <v>Cameras</v>
      </c>
      <c r="J492" s="14" t="n">
        <v>4</v>
      </c>
      <c r="K492" s="16" t="n">
        <v>7575.32</v>
      </c>
      <c r="L492" s="17" t="n">
        <v>0</v>
      </c>
      <c r="M492" s="18" t="n">
        <f aca="false">J492*K492*(1-L492)</f>
        <v>30301.28</v>
      </c>
      <c r="N492" s="18" t="n">
        <f aca="false">J492*IFERROR(INDEX(Calculations!$C$6:$C$27,MATCH(H492,Calculations!$A$6:$A$27,0)),0)</f>
        <v>16800</v>
      </c>
      <c r="O492" s="18" t="n">
        <f aca="false">M492-N492</f>
        <v>13501.28</v>
      </c>
      <c r="P492" s="18" t="n">
        <f aca="false">M492*IFERROR(INDEX(Calculations!$F$6:$F$11,MATCH(I492,Calculations!$E$6:$E$11,0)),0.1)</f>
        <v>2272.596</v>
      </c>
      <c r="Q492" s="18" t="n">
        <f aca="false">O492-P492</f>
        <v>11228.684</v>
      </c>
      <c r="R492" s="14" t="s">
        <v>130</v>
      </c>
      <c r="S492" s="14" t="s">
        <v>125</v>
      </c>
    </row>
    <row r="493" customFormat="false" ht="15" hidden="false" customHeight="false" outlineLevel="0" collapsed="false">
      <c r="A493" s="14" t="s">
        <v>1043</v>
      </c>
      <c r="B493" s="15" t="n">
        <v>46189</v>
      </c>
      <c r="C493" s="14" t="s">
        <v>1017</v>
      </c>
      <c r="D493" s="14" t="s">
        <v>1018</v>
      </c>
      <c r="E493" s="14" t="s">
        <v>145</v>
      </c>
      <c r="F493" s="14" t="s">
        <v>146</v>
      </c>
      <c r="G493" s="14" t="s">
        <v>123</v>
      </c>
      <c r="H493" s="14" t="s">
        <v>72</v>
      </c>
      <c r="I493" s="14" t="str">
        <f aca="false">IFERROR(INDEX(Calculations!$B$6:$B$27,MATCH(H493,Calculations!$A$6:$A$27,0)),"Unknown")</f>
        <v>Smart Home</v>
      </c>
      <c r="J493" s="14" t="n">
        <v>2</v>
      </c>
      <c r="K493" s="16" t="n">
        <v>4321.68</v>
      </c>
      <c r="L493" s="17" t="n">
        <v>0.2</v>
      </c>
      <c r="M493" s="18" t="n">
        <f aca="false">J493*K493*(1-L493)</f>
        <v>6914.688</v>
      </c>
      <c r="N493" s="18" t="n">
        <f aca="false">J493*IFERROR(INDEX(Calculations!$C$6:$C$27,MATCH(H493,Calculations!$A$6:$A$27,0)),0)</f>
        <v>5200</v>
      </c>
      <c r="O493" s="18" t="n">
        <f aca="false">M493-N493</f>
        <v>1714.688</v>
      </c>
      <c r="P493" s="18" t="n">
        <f aca="false">M493*IFERROR(INDEX(Calculations!$F$6:$F$11,MATCH(I493,Calculations!$E$6:$E$11,0)),0.1)</f>
        <v>760.61568</v>
      </c>
      <c r="Q493" s="18" t="n">
        <f aca="false">O493-P493</f>
        <v>954.072320000001</v>
      </c>
      <c r="R493" s="14" t="s">
        <v>243</v>
      </c>
      <c r="S493" s="14" t="s">
        <v>210</v>
      </c>
    </row>
    <row r="494" customFormat="false" ht="15" hidden="false" customHeight="false" outlineLevel="0" collapsed="false">
      <c r="A494" s="14" t="s">
        <v>1044</v>
      </c>
      <c r="B494" s="15" t="n">
        <v>46189</v>
      </c>
      <c r="C494" s="14" t="s">
        <v>835</v>
      </c>
      <c r="D494" s="14" t="s">
        <v>836</v>
      </c>
      <c r="E494" s="14" t="s">
        <v>139</v>
      </c>
      <c r="F494" s="14" t="s">
        <v>152</v>
      </c>
      <c r="G494" s="14" t="s">
        <v>134</v>
      </c>
      <c r="H494" s="14" t="s">
        <v>70</v>
      </c>
      <c r="I494" s="14" t="str">
        <f aca="false">IFERROR(INDEX(Calculations!$B$6:$B$27,MATCH(H494,Calculations!$A$6:$A$27,0)),"Unknown")</f>
        <v>Smart Home</v>
      </c>
      <c r="J494" s="14" t="n">
        <v>2</v>
      </c>
      <c r="K494" s="16" t="n">
        <v>4134.71</v>
      </c>
      <c r="L494" s="17" t="n">
        <v>0</v>
      </c>
      <c r="M494" s="18" t="n">
        <f aca="false">J494*K494*(1-L494)</f>
        <v>8269.42</v>
      </c>
      <c r="N494" s="18" t="n">
        <f aca="false">J494*IFERROR(INDEX(Calculations!$C$6:$C$27,MATCH(H494,Calculations!$A$6:$A$27,0)),0)</f>
        <v>4400</v>
      </c>
      <c r="O494" s="18" t="n">
        <f aca="false">M494-N494</f>
        <v>3869.42</v>
      </c>
      <c r="P494" s="18" t="n">
        <f aca="false">M494*IFERROR(INDEX(Calculations!$F$6:$F$11,MATCH(I494,Calculations!$E$6:$E$11,0)),0.1)</f>
        <v>909.6362</v>
      </c>
      <c r="Q494" s="18" t="n">
        <f aca="false">O494-P494</f>
        <v>2959.7838</v>
      </c>
      <c r="R494" s="14" t="s">
        <v>135</v>
      </c>
      <c r="S494" s="14" t="s">
        <v>125</v>
      </c>
    </row>
    <row r="495" customFormat="false" ht="15" hidden="false" customHeight="false" outlineLevel="0" collapsed="false">
      <c r="A495" s="14" t="s">
        <v>1045</v>
      </c>
      <c r="B495" s="15" t="n">
        <v>46190</v>
      </c>
      <c r="C495" s="14" t="s">
        <v>424</v>
      </c>
      <c r="D495" s="14" t="s">
        <v>425</v>
      </c>
      <c r="E495" s="14" t="s">
        <v>121</v>
      </c>
      <c r="F495" s="14" t="s">
        <v>129</v>
      </c>
      <c r="G495" s="14" t="s">
        <v>209</v>
      </c>
      <c r="H495" s="14" t="s">
        <v>50</v>
      </c>
      <c r="I495" s="14" t="str">
        <f aca="false">IFERROR(INDEX(Calculations!$B$6:$B$27,MATCH(H495,Calculations!$A$6:$A$27,0)),"Unknown")</f>
        <v>Audio</v>
      </c>
      <c r="J495" s="14" t="n">
        <v>1</v>
      </c>
      <c r="K495" s="16" t="n">
        <v>1312.46</v>
      </c>
      <c r="L495" s="17" t="n">
        <v>0</v>
      </c>
      <c r="M495" s="18" t="n">
        <f aca="false">J495*K495*(1-L495)</f>
        <v>1312.46</v>
      </c>
      <c r="N495" s="18" t="n">
        <f aca="false">J495*IFERROR(INDEX(Calculations!$C$6:$C$27,MATCH(H495,Calculations!$A$6:$A$27,0)),0)</f>
        <v>650</v>
      </c>
      <c r="O495" s="18" t="n">
        <f aca="false">M495-N495</f>
        <v>662.46</v>
      </c>
      <c r="P495" s="18" t="n">
        <f aca="false">M495*IFERROR(INDEX(Calculations!$F$6:$F$11,MATCH(I495,Calculations!$E$6:$E$11,0)),0.1)</f>
        <v>131.246</v>
      </c>
      <c r="Q495" s="18" t="n">
        <f aca="false">O495-P495</f>
        <v>531.214</v>
      </c>
      <c r="R495" s="14" t="s">
        <v>135</v>
      </c>
      <c r="S495" s="14" t="s">
        <v>210</v>
      </c>
    </row>
    <row r="496" customFormat="false" ht="15" hidden="false" customHeight="false" outlineLevel="0" collapsed="false">
      <c r="A496" s="14" t="s">
        <v>1046</v>
      </c>
      <c r="B496" s="15" t="n">
        <v>46190</v>
      </c>
      <c r="C496" s="14" t="s">
        <v>1017</v>
      </c>
      <c r="D496" s="14" t="s">
        <v>1018</v>
      </c>
      <c r="E496" s="14" t="s">
        <v>145</v>
      </c>
      <c r="F496" s="14" t="s">
        <v>146</v>
      </c>
      <c r="G496" s="14" t="s">
        <v>147</v>
      </c>
      <c r="H496" s="14" t="s">
        <v>75</v>
      </c>
      <c r="I496" s="14" t="str">
        <f aca="false">IFERROR(INDEX(Calculations!$B$6:$B$27,MATCH(H496,Calculations!$A$6:$A$27,0)),"Unknown")</f>
        <v>Wearables</v>
      </c>
      <c r="J496" s="14" t="n">
        <v>2</v>
      </c>
      <c r="K496" s="16" t="n">
        <v>3318.24</v>
      </c>
      <c r="L496" s="17" t="n">
        <v>0.05</v>
      </c>
      <c r="M496" s="18" t="n">
        <f aca="false">J496*K496*(1-L496)</f>
        <v>6304.656</v>
      </c>
      <c r="N496" s="18" t="n">
        <f aca="false">J496*IFERROR(INDEX(Calculations!$C$6:$C$27,MATCH(H496,Calculations!$A$6:$A$27,0)),0)</f>
        <v>3800</v>
      </c>
      <c r="O496" s="18" t="n">
        <f aca="false">M496-N496</f>
        <v>2504.656</v>
      </c>
      <c r="P496" s="18" t="n">
        <f aca="false">M496*IFERROR(INDEX(Calculations!$F$6:$F$11,MATCH(I496,Calculations!$E$6:$E$11,0)),0.1)</f>
        <v>567.41904</v>
      </c>
      <c r="Q496" s="18" t="n">
        <f aca="false">O496-P496</f>
        <v>1937.23696</v>
      </c>
      <c r="R496" s="14" t="s">
        <v>130</v>
      </c>
      <c r="S496" s="14" t="s">
        <v>125</v>
      </c>
    </row>
    <row r="497" customFormat="false" ht="15" hidden="false" customHeight="false" outlineLevel="0" collapsed="false">
      <c r="A497" s="14" t="s">
        <v>1047</v>
      </c>
      <c r="B497" s="15" t="n">
        <v>46191</v>
      </c>
      <c r="C497" s="14" t="s">
        <v>474</v>
      </c>
      <c r="D497" s="14" t="s">
        <v>475</v>
      </c>
      <c r="E497" s="14" t="s">
        <v>156</v>
      </c>
      <c r="F497" s="14" t="s">
        <v>169</v>
      </c>
      <c r="G497" s="14" t="s">
        <v>170</v>
      </c>
      <c r="H497" s="14" t="s">
        <v>60</v>
      </c>
      <c r="I497" s="14" t="str">
        <f aca="false">IFERROR(INDEX(Calculations!$B$6:$B$27,MATCH(H497,Calculations!$A$6:$A$27,0)),"Unknown")</f>
        <v>Mobile Accessories</v>
      </c>
      <c r="J497" s="14" t="n">
        <v>2</v>
      </c>
      <c r="K497" s="16" t="n">
        <v>250.27</v>
      </c>
      <c r="L497" s="17" t="n">
        <v>0.05</v>
      </c>
      <c r="M497" s="18" t="n">
        <f aca="false">J497*K497*(1-L497)</f>
        <v>475.513</v>
      </c>
      <c r="N497" s="18" t="n">
        <f aca="false">J497*IFERROR(INDEX(Calculations!$C$6:$C$27,MATCH(H497,Calculations!$A$6:$A$27,0)),0)</f>
        <v>180</v>
      </c>
      <c r="O497" s="18" t="n">
        <f aca="false">M497-N497</f>
        <v>295.513</v>
      </c>
      <c r="P497" s="18" t="n">
        <f aca="false">M497*IFERROR(INDEX(Calculations!$F$6:$F$11,MATCH(I497,Calculations!$E$6:$E$11,0)),0.1)</f>
        <v>57.06156</v>
      </c>
      <c r="Q497" s="18" t="n">
        <f aca="false">O497-P497</f>
        <v>238.45144</v>
      </c>
      <c r="R497" s="14" t="s">
        <v>135</v>
      </c>
      <c r="S497" s="14" t="s">
        <v>205</v>
      </c>
    </row>
    <row r="498" customFormat="false" ht="15" hidden="false" customHeight="false" outlineLevel="0" collapsed="false">
      <c r="A498" s="14" t="s">
        <v>1048</v>
      </c>
      <c r="B498" s="15" t="n">
        <v>46194</v>
      </c>
      <c r="C498" s="14" t="s">
        <v>1049</v>
      </c>
      <c r="D498" s="14" t="s">
        <v>1050</v>
      </c>
      <c r="E498" s="14" t="s">
        <v>121</v>
      </c>
      <c r="F498" s="14" t="s">
        <v>129</v>
      </c>
      <c r="G498" s="14" t="s">
        <v>161</v>
      </c>
      <c r="H498" s="14" t="s">
        <v>72</v>
      </c>
      <c r="I498" s="14" t="str">
        <f aca="false">IFERROR(INDEX(Calculations!$B$6:$B$27,MATCH(H498,Calculations!$A$6:$A$27,0)),"Unknown")</f>
        <v>Smart Home</v>
      </c>
      <c r="J498" s="14" t="n">
        <v>4</v>
      </c>
      <c r="K498" s="16" t="n">
        <v>4413.81</v>
      </c>
      <c r="L498" s="17" t="n">
        <v>0.05</v>
      </c>
      <c r="M498" s="18" t="n">
        <f aca="false">J498*K498*(1-L498)</f>
        <v>16772.478</v>
      </c>
      <c r="N498" s="18" t="n">
        <f aca="false">J498*IFERROR(INDEX(Calculations!$C$6:$C$27,MATCH(H498,Calculations!$A$6:$A$27,0)),0)</f>
        <v>10400</v>
      </c>
      <c r="O498" s="18" t="n">
        <f aca="false">M498-N498</f>
        <v>6372.478</v>
      </c>
      <c r="P498" s="18" t="n">
        <f aca="false">M498*IFERROR(INDEX(Calculations!$F$6:$F$11,MATCH(I498,Calculations!$E$6:$E$11,0)),0.1)</f>
        <v>1844.97258</v>
      </c>
      <c r="Q498" s="18" t="n">
        <f aca="false">O498-P498</f>
        <v>4527.50542</v>
      </c>
      <c r="R498" s="14" t="s">
        <v>130</v>
      </c>
      <c r="S498" s="14" t="s">
        <v>125</v>
      </c>
    </row>
    <row r="499" customFormat="false" ht="15" hidden="false" customHeight="false" outlineLevel="0" collapsed="false">
      <c r="A499" s="14" t="s">
        <v>1051</v>
      </c>
      <c r="B499" s="15" t="n">
        <v>46194</v>
      </c>
      <c r="C499" s="14" t="s">
        <v>511</v>
      </c>
      <c r="D499" s="14" t="s">
        <v>512</v>
      </c>
      <c r="E499" s="14" t="s">
        <v>194</v>
      </c>
      <c r="F499" s="14" t="s">
        <v>195</v>
      </c>
      <c r="G499" s="14" t="s">
        <v>141</v>
      </c>
      <c r="H499" s="14" t="s">
        <v>70</v>
      </c>
      <c r="I499" s="14" t="str">
        <f aca="false">IFERROR(INDEX(Calculations!$B$6:$B$27,MATCH(H499,Calculations!$A$6:$A$27,0)),"Unknown")</f>
        <v>Smart Home</v>
      </c>
      <c r="J499" s="14" t="n">
        <v>1</v>
      </c>
      <c r="K499" s="16" t="n">
        <v>4065.31</v>
      </c>
      <c r="L499" s="17" t="n">
        <v>0.1</v>
      </c>
      <c r="M499" s="18" t="n">
        <f aca="false">J499*K499*(1-L499)</f>
        <v>3658.779</v>
      </c>
      <c r="N499" s="18" t="n">
        <f aca="false">J499*IFERROR(INDEX(Calculations!$C$6:$C$27,MATCH(H499,Calculations!$A$6:$A$27,0)),0)</f>
        <v>2200</v>
      </c>
      <c r="O499" s="18" t="n">
        <f aca="false">M499-N499</f>
        <v>1458.779</v>
      </c>
      <c r="P499" s="18" t="n">
        <f aca="false">M499*IFERROR(INDEX(Calculations!$F$6:$F$11,MATCH(I499,Calculations!$E$6:$E$11,0)),0.1)</f>
        <v>402.46569</v>
      </c>
      <c r="Q499" s="18" t="n">
        <f aca="false">O499-P499</f>
        <v>1056.31331</v>
      </c>
      <c r="R499" s="14" t="s">
        <v>243</v>
      </c>
      <c r="S499" s="14" t="s">
        <v>125</v>
      </c>
    </row>
    <row r="500" customFormat="false" ht="15" hidden="false" customHeight="false" outlineLevel="0" collapsed="false">
      <c r="A500" s="14" t="s">
        <v>1052</v>
      </c>
      <c r="B500" s="15" t="n">
        <v>46195</v>
      </c>
      <c r="C500" s="14" t="s">
        <v>304</v>
      </c>
      <c r="D500" s="14" t="s">
        <v>305</v>
      </c>
      <c r="E500" s="14" t="s">
        <v>156</v>
      </c>
      <c r="F500" s="14" t="s">
        <v>157</v>
      </c>
      <c r="G500" s="14" t="s">
        <v>141</v>
      </c>
      <c r="H500" s="14" t="s">
        <v>70</v>
      </c>
      <c r="I500" s="14" t="str">
        <f aca="false">IFERROR(INDEX(Calculations!$B$6:$B$27,MATCH(H500,Calculations!$A$6:$A$27,0)),"Unknown")</f>
        <v>Smart Home</v>
      </c>
      <c r="J500" s="14" t="n">
        <v>4</v>
      </c>
      <c r="K500" s="16" t="n">
        <v>4093.59</v>
      </c>
      <c r="L500" s="17" t="n">
        <v>0.05</v>
      </c>
      <c r="M500" s="18" t="n">
        <f aca="false">J500*K500*(1-L500)</f>
        <v>15555.642</v>
      </c>
      <c r="N500" s="18" t="n">
        <f aca="false">J500*IFERROR(INDEX(Calculations!$C$6:$C$27,MATCH(H500,Calculations!$A$6:$A$27,0)),0)</f>
        <v>8800</v>
      </c>
      <c r="O500" s="18" t="n">
        <f aca="false">M500-N500</f>
        <v>6755.642</v>
      </c>
      <c r="P500" s="18" t="n">
        <f aca="false">M500*IFERROR(INDEX(Calculations!$F$6:$F$11,MATCH(I500,Calculations!$E$6:$E$11,0)),0.1)</f>
        <v>1711.12062</v>
      </c>
      <c r="Q500" s="18" t="n">
        <f aca="false">O500-P500</f>
        <v>5044.52138</v>
      </c>
      <c r="R500" s="14" t="s">
        <v>243</v>
      </c>
      <c r="S500" s="14" t="s">
        <v>210</v>
      </c>
    </row>
    <row r="501" customFormat="false" ht="15" hidden="false" customHeight="false" outlineLevel="0" collapsed="false">
      <c r="A501" s="14" t="s">
        <v>1053</v>
      </c>
      <c r="B501" s="15" t="n">
        <v>46196</v>
      </c>
      <c r="C501" s="14" t="s">
        <v>544</v>
      </c>
      <c r="D501" s="14" t="s">
        <v>545</v>
      </c>
      <c r="E501" s="14" t="s">
        <v>121</v>
      </c>
      <c r="F501" s="14" t="s">
        <v>122</v>
      </c>
      <c r="G501" s="14" t="s">
        <v>161</v>
      </c>
      <c r="H501" s="14" t="s">
        <v>60</v>
      </c>
      <c r="I501" s="14" t="str">
        <f aca="false">IFERROR(INDEX(Calculations!$B$6:$B$27,MATCH(H501,Calculations!$A$6:$A$27,0)),"Unknown")</f>
        <v>Mobile Accessories</v>
      </c>
      <c r="J501" s="14" t="n">
        <v>6</v>
      </c>
      <c r="K501" s="16" t="n">
        <v>248.47</v>
      </c>
      <c r="L501" s="17" t="n">
        <v>0</v>
      </c>
      <c r="M501" s="18" t="n">
        <f aca="false">J501*K501*(1-L501)</f>
        <v>1490.82</v>
      </c>
      <c r="N501" s="18" t="n">
        <f aca="false">J501*IFERROR(INDEX(Calculations!$C$6:$C$27,MATCH(H501,Calculations!$A$6:$A$27,0)),0)</f>
        <v>540</v>
      </c>
      <c r="O501" s="18" t="n">
        <f aca="false">M501-N501</f>
        <v>950.82</v>
      </c>
      <c r="P501" s="18" t="n">
        <f aca="false">M501*IFERROR(INDEX(Calculations!$F$6:$F$11,MATCH(I501,Calculations!$E$6:$E$11,0)),0.1)</f>
        <v>178.8984</v>
      </c>
      <c r="Q501" s="18" t="n">
        <f aca="false">O501-P501</f>
        <v>771.9216</v>
      </c>
      <c r="R501" s="14" t="s">
        <v>165</v>
      </c>
      <c r="S501" s="14" t="s">
        <v>125</v>
      </c>
    </row>
    <row r="502" customFormat="false" ht="15" hidden="false" customHeight="false" outlineLevel="0" collapsed="false">
      <c r="A502" s="14" t="s">
        <v>1054</v>
      </c>
      <c r="B502" s="15" t="n">
        <v>46196</v>
      </c>
      <c r="C502" s="14" t="s">
        <v>349</v>
      </c>
      <c r="D502" s="14" t="s">
        <v>350</v>
      </c>
      <c r="E502" s="14" t="s">
        <v>139</v>
      </c>
      <c r="F502" s="14" t="s">
        <v>152</v>
      </c>
      <c r="G502" s="14" t="s">
        <v>170</v>
      </c>
      <c r="H502" s="14" t="s">
        <v>73</v>
      </c>
      <c r="I502" s="14" t="str">
        <f aca="false">IFERROR(INDEX(Calculations!$B$6:$B$27,MATCH(H502,Calculations!$A$6:$A$27,0)),"Unknown")</f>
        <v>Wearables</v>
      </c>
      <c r="J502" s="14" t="n">
        <v>4</v>
      </c>
      <c r="K502" s="16" t="n">
        <v>2026.49</v>
      </c>
      <c r="L502" s="17" t="n">
        <v>0.05</v>
      </c>
      <c r="M502" s="18" t="n">
        <f aca="false">J502*K502*(1-L502)</f>
        <v>7700.662</v>
      </c>
      <c r="N502" s="18" t="n">
        <f aca="false">J502*IFERROR(INDEX(Calculations!$C$6:$C$27,MATCH(H502,Calculations!$A$6:$A$27,0)),0)</f>
        <v>4400</v>
      </c>
      <c r="O502" s="18" t="n">
        <f aca="false">M502-N502</f>
        <v>3300.662</v>
      </c>
      <c r="P502" s="18" t="n">
        <f aca="false">M502*IFERROR(INDEX(Calculations!$F$6:$F$11,MATCH(I502,Calculations!$E$6:$E$11,0)),0.1)</f>
        <v>693.05958</v>
      </c>
      <c r="Q502" s="18" t="n">
        <f aca="false">O502-P502</f>
        <v>2607.60242</v>
      </c>
      <c r="R502" s="14" t="s">
        <v>165</v>
      </c>
      <c r="S502" s="14" t="s">
        <v>210</v>
      </c>
    </row>
    <row r="503" customFormat="false" ht="15" hidden="false" customHeight="false" outlineLevel="0" collapsed="false">
      <c r="A503" s="14" t="s">
        <v>1055</v>
      </c>
      <c r="B503" s="15" t="n">
        <v>46198</v>
      </c>
      <c r="C503" s="14" t="s">
        <v>1056</v>
      </c>
      <c r="D503" s="14" t="s">
        <v>1057</v>
      </c>
      <c r="E503" s="14" t="s">
        <v>145</v>
      </c>
      <c r="F503" s="14" t="s">
        <v>146</v>
      </c>
      <c r="G503" s="14" t="s">
        <v>134</v>
      </c>
      <c r="H503" s="14" t="s">
        <v>58</v>
      </c>
      <c r="I503" s="14" t="str">
        <f aca="false">IFERROR(INDEX(Calculations!$B$6:$B$27,MATCH(H503,Calculations!$A$6:$A$27,0)),"Unknown")</f>
        <v>Mobile Accessories</v>
      </c>
      <c r="J503" s="14" t="n">
        <v>1</v>
      </c>
      <c r="K503" s="16" t="n">
        <v>501.53</v>
      </c>
      <c r="L503" s="17" t="n">
        <v>0.1</v>
      </c>
      <c r="M503" s="18" t="n">
        <f aca="false">J503*K503*(1-L503)</f>
        <v>451.377</v>
      </c>
      <c r="N503" s="18" t="n">
        <f aca="false">J503*IFERROR(INDEX(Calculations!$C$6:$C$27,MATCH(H503,Calculations!$A$6:$A$27,0)),0)</f>
        <v>220</v>
      </c>
      <c r="O503" s="18" t="n">
        <f aca="false">M503-N503</f>
        <v>231.377</v>
      </c>
      <c r="P503" s="18" t="n">
        <f aca="false">M503*IFERROR(INDEX(Calculations!$F$6:$F$11,MATCH(I503,Calculations!$E$6:$E$11,0)),0.1)</f>
        <v>54.16524</v>
      </c>
      <c r="Q503" s="18" t="n">
        <f aca="false">O503-P503</f>
        <v>177.21176</v>
      </c>
      <c r="R503" s="14" t="s">
        <v>130</v>
      </c>
      <c r="S503" s="14" t="s">
        <v>125</v>
      </c>
    </row>
    <row r="504" customFormat="false" ht="15" hidden="false" customHeight="false" outlineLevel="0" collapsed="false">
      <c r="A504" s="14" t="s">
        <v>1058</v>
      </c>
      <c r="B504" s="15" t="n">
        <v>46198</v>
      </c>
      <c r="C504" s="14" t="s">
        <v>413</v>
      </c>
      <c r="D504" s="14" t="s">
        <v>414</v>
      </c>
      <c r="E504" s="14" t="s">
        <v>121</v>
      </c>
      <c r="F504" s="14" t="s">
        <v>122</v>
      </c>
      <c r="G504" s="14" t="s">
        <v>147</v>
      </c>
      <c r="H504" s="14" t="s">
        <v>63</v>
      </c>
      <c r="I504" s="14" t="str">
        <f aca="false">IFERROR(INDEX(Calculations!$B$6:$B$27,MATCH(H504,Calculations!$A$6:$A$27,0)),"Unknown")</f>
        <v>Mobile Accessories</v>
      </c>
      <c r="J504" s="14" t="n">
        <v>5</v>
      </c>
      <c r="K504" s="16" t="n">
        <v>354.1</v>
      </c>
      <c r="L504" s="17" t="n">
        <v>0.05</v>
      </c>
      <c r="M504" s="18" t="n">
        <f aca="false">J504*K504*(1-L504)</f>
        <v>1681.975</v>
      </c>
      <c r="N504" s="18" t="n">
        <f aca="false">J504*IFERROR(INDEX(Calculations!$C$6:$C$27,MATCH(H504,Calculations!$A$6:$A$27,0)),0)</f>
        <v>750</v>
      </c>
      <c r="O504" s="18" t="n">
        <f aca="false">M504-N504</f>
        <v>931.975</v>
      </c>
      <c r="P504" s="18" t="n">
        <f aca="false">M504*IFERROR(INDEX(Calculations!$F$6:$F$11,MATCH(I504,Calculations!$E$6:$E$11,0)),0.1)</f>
        <v>201.837</v>
      </c>
      <c r="Q504" s="18" t="n">
        <f aca="false">O504-P504</f>
        <v>730.138</v>
      </c>
      <c r="R504" s="14" t="s">
        <v>243</v>
      </c>
      <c r="S504" s="14" t="s">
        <v>148</v>
      </c>
    </row>
    <row r="505" customFormat="false" ht="15" hidden="false" customHeight="false" outlineLevel="0" collapsed="false">
      <c r="A505" s="14" t="s">
        <v>1059</v>
      </c>
      <c r="B505" s="15" t="n">
        <v>46199</v>
      </c>
      <c r="C505" s="14" t="s">
        <v>665</v>
      </c>
      <c r="D505" s="14" t="s">
        <v>666</v>
      </c>
      <c r="E505" s="14" t="s">
        <v>139</v>
      </c>
      <c r="F505" s="14" t="s">
        <v>140</v>
      </c>
      <c r="G505" s="14" t="s">
        <v>209</v>
      </c>
      <c r="H505" s="14" t="s">
        <v>77</v>
      </c>
      <c r="I505" s="14" t="str">
        <f aca="false">IFERROR(INDEX(Calculations!$B$6:$B$27,MATCH(H505,Calculations!$A$6:$A$27,0)),"Unknown")</f>
        <v>Cameras</v>
      </c>
      <c r="J505" s="14" t="n">
        <v>1</v>
      </c>
      <c r="K505" s="16" t="n">
        <v>5471.5</v>
      </c>
      <c r="L505" s="17" t="n">
        <v>0.2</v>
      </c>
      <c r="M505" s="18" t="n">
        <f aca="false">J505*K505*(1-L505)</f>
        <v>4377.2</v>
      </c>
      <c r="N505" s="18" t="n">
        <f aca="false">J505*IFERROR(INDEX(Calculations!$C$6:$C$27,MATCH(H505,Calculations!$A$6:$A$27,0)),0)</f>
        <v>3100</v>
      </c>
      <c r="O505" s="18" t="n">
        <f aca="false">M505-N505</f>
        <v>1277.2</v>
      </c>
      <c r="P505" s="18" t="n">
        <f aca="false">M505*IFERROR(INDEX(Calculations!$F$6:$F$11,MATCH(I505,Calculations!$E$6:$E$11,0)),0.1)</f>
        <v>328.29</v>
      </c>
      <c r="Q505" s="18" t="n">
        <f aca="false">O505-P505</f>
        <v>948.91</v>
      </c>
      <c r="R505" s="14" t="s">
        <v>130</v>
      </c>
      <c r="S505" s="14" t="s">
        <v>125</v>
      </c>
    </row>
    <row r="506" customFormat="false" ht="15" hidden="false" customHeight="false" outlineLevel="0" collapsed="false">
      <c r="A506" s="14" t="s">
        <v>1060</v>
      </c>
      <c r="B506" s="15" t="n">
        <v>46200</v>
      </c>
      <c r="C506" s="14" t="s">
        <v>630</v>
      </c>
      <c r="D506" s="14" t="s">
        <v>631</v>
      </c>
      <c r="E506" s="14" t="s">
        <v>194</v>
      </c>
      <c r="F506" s="14" t="s">
        <v>195</v>
      </c>
      <c r="G506" s="14" t="s">
        <v>209</v>
      </c>
      <c r="H506" s="14" t="s">
        <v>54</v>
      </c>
      <c r="I506" s="14" t="str">
        <f aca="false">IFERROR(INDEX(Calculations!$B$6:$B$27,MATCH(H506,Calculations!$A$6:$A$27,0)),"Unknown")</f>
        <v>Audio</v>
      </c>
      <c r="J506" s="14" t="n">
        <v>2</v>
      </c>
      <c r="K506" s="16" t="n">
        <v>2800.58</v>
      </c>
      <c r="L506" s="17" t="n">
        <v>0.05</v>
      </c>
      <c r="M506" s="18" t="n">
        <f aca="false">J506*K506*(1-L506)</f>
        <v>5321.102</v>
      </c>
      <c r="N506" s="18" t="n">
        <f aca="false">J506*IFERROR(INDEX(Calculations!$C$6:$C$27,MATCH(H506,Calculations!$A$6:$A$27,0)),0)</f>
        <v>2800</v>
      </c>
      <c r="O506" s="18" t="n">
        <f aca="false">M506-N506</f>
        <v>2521.102</v>
      </c>
      <c r="P506" s="18" t="n">
        <f aca="false">M506*IFERROR(INDEX(Calculations!$F$6:$F$11,MATCH(I506,Calculations!$E$6:$E$11,0)),0.1)</f>
        <v>532.1102</v>
      </c>
      <c r="Q506" s="18" t="n">
        <f aca="false">O506-P506</f>
        <v>1988.9918</v>
      </c>
      <c r="R506" s="14" t="s">
        <v>124</v>
      </c>
      <c r="S506" s="14" t="s">
        <v>210</v>
      </c>
    </row>
    <row r="507" customFormat="false" ht="15" hidden="false" customHeight="false" outlineLevel="0" collapsed="false">
      <c r="A507" s="14" t="s">
        <v>1061</v>
      </c>
      <c r="B507" s="15" t="n">
        <v>46200</v>
      </c>
      <c r="C507" s="14" t="s">
        <v>984</v>
      </c>
      <c r="D507" s="14" t="s">
        <v>985</v>
      </c>
      <c r="E507" s="14" t="s">
        <v>139</v>
      </c>
      <c r="F507" s="14" t="s">
        <v>152</v>
      </c>
      <c r="G507" s="14" t="s">
        <v>141</v>
      </c>
      <c r="H507" s="14" t="s">
        <v>63</v>
      </c>
      <c r="I507" s="14" t="str">
        <f aca="false">IFERROR(INDEX(Calculations!$B$6:$B$27,MATCH(H507,Calculations!$A$6:$A$27,0)),"Unknown")</f>
        <v>Mobile Accessories</v>
      </c>
      <c r="J507" s="14" t="n">
        <v>2</v>
      </c>
      <c r="K507" s="16" t="n">
        <v>361.55</v>
      </c>
      <c r="L507" s="17" t="n">
        <v>0</v>
      </c>
      <c r="M507" s="18" t="n">
        <f aca="false">J507*K507*(1-L507)</f>
        <v>723.1</v>
      </c>
      <c r="N507" s="18" t="n">
        <f aca="false">J507*IFERROR(INDEX(Calculations!$C$6:$C$27,MATCH(H507,Calculations!$A$6:$A$27,0)),0)</f>
        <v>300</v>
      </c>
      <c r="O507" s="18" t="n">
        <f aca="false">M507-N507</f>
        <v>423.1</v>
      </c>
      <c r="P507" s="18" t="n">
        <f aca="false">M507*IFERROR(INDEX(Calculations!$F$6:$F$11,MATCH(I507,Calculations!$E$6:$E$11,0)),0.1)</f>
        <v>86.772</v>
      </c>
      <c r="Q507" s="18" t="n">
        <f aca="false">O507-P507</f>
        <v>336.328</v>
      </c>
      <c r="R507" s="14" t="s">
        <v>130</v>
      </c>
      <c r="S507" s="14" t="s">
        <v>125</v>
      </c>
    </row>
    <row r="508" customFormat="false" ht="15" hidden="false" customHeight="false" outlineLevel="0" collapsed="false">
      <c r="A508" s="14" t="s">
        <v>1062</v>
      </c>
      <c r="B508" s="15" t="n">
        <v>46200</v>
      </c>
      <c r="C508" s="14" t="s">
        <v>709</v>
      </c>
      <c r="D508" s="14" t="s">
        <v>710</v>
      </c>
      <c r="E508" s="14" t="s">
        <v>156</v>
      </c>
      <c r="F508" s="14" t="s">
        <v>157</v>
      </c>
      <c r="G508" s="14" t="s">
        <v>141</v>
      </c>
      <c r="H508" s="14" t="s">
        <v>69</v>
      </c>
      <c r="I508" s="14" t="str">
        <f aca="false">IFERROR(INDEX(Calculations!$B$6:$B$27,MATCH(H508,Calculations!$A$6:$A$27,0)),"Unknown")</f>
        <v>Smart Home</v>
      </c>
      <c r="J508" s="14" t="n">
        <v>2</v>
      </c>
      <c r="K508" s="16" t="n">
        <v>821.88</v>
      </c>
      <c r="L508" s="17" t="n">
        <v>0</v>
      </c>
      <c r="M508" s="18" t="n">
        <f aca="false">J508*K508*(1-L508)</f>
        <v>1643.76</v>
      </c>
      <c r="N508" s="18" t="n">
        <f aca="false">J508*IFERROR(INDEX(Calculations!$C$6:$C$27,MATCH(H508,Calculations!$A$6:$A$27,0)),0)</f>
        <v>700</v>
      </c>
      <c r="O508" s="18" t="n">
        <f aca="false">M508-N508</f>
        <v>943.76</v>
      </c>
      <c r="P508" s="18" t="n">
        <f aca="false">M508*IFERROR(INDEX(Calculations!$F$6:$F$11,MATCH(I508,Calculations!$E$6:$E$11,0)),0.1)</f>
        <v>180.8136</v>
      </c>
      <c r="Q508" s="18" t="n">
        <f aca="false">O508-P508</f>
        <v>762.9464</v>
      </c>
      <c r="R508" s="14" t="s">
        <v>124</v>
      </c>
      <c r="S508" s="14" t="s">
        <v>125</v>
      </c>
    </row>
    <row r="509" customFormat="false" ht="15" hidden="false" customHeight="false" outlineLevel="0" collapsed="false">
      <c r="A509" s="14" t="s">
        <v>1063</v>
      </c>
      <c r="B509" s="15" t="n">
        <v>46200</v>
      </c>
      <c r="C509" s="14" t="s">
        <v>349</v>
      </c>
      <c r="D509" s="14" t="s">
        <v>350</v>
      </c>
      <c r="E509" s="14" t="s">
        <v>139</v>
      </c>
      <c r="F509" s="14" t="s">
        <v>152</v>
      </c>
      <c r="G509" s="14" t="s">
        <v>209</v>
      </c>
      <c r="H509" s="14" t="s">
        <v>76</v>
      </c>
      <c r="I509" s="14" t="str">
        <f aca="false">IFERROR(INDEX(Calculations!$B$6:$B$27,MATCH(H509,Calculations!$A$6:$A$27,0)),"Unknown")</f>
        <v>Cameras</v>
      </c>
      <c r="J509" s="14" t="n">
        <v>2</v>
      </c>
      <c r="K509" s="16" t="n">
        <v>7354.31</v>
      </c>
      <c r="L509" s="17" t="n">
        <v>0.15</v>
      </c>
      <c r="M509" s="18" t="n">
        <f aca="false">J509*K509*(1-L509)</f>
        <v>12502.327</v>
      </c>
      <c r="N509" s="18" t="n">
        <f aca="false">J509*IFERROR(INDEX(Calculations!$C$6:$C$27,MATCH(H509,Calculations!$A$6:$A$27,0)),0)</f>
        <v>8400</v>
      </c>
      <c r="O509" s="18" t="n">
        <f aca="false">M509-N509</f>
        <v>4102.327</v>
      </c>
      <c r="P509" s="18" t="n">
        <f aca="false">M509*IFERROR(INDEX(Calculations!$F$6:$F$11,MATCH(I509,Calculations!$E$6:$E$11,0)),0.1)</f>
        <v>937.674525</v>
      </c>
      <c r="Q509" s="18" t="n">
        <f aca="false">O509-P509</f>
        <v>3164.652475</v>
      </c>
      <c r="R509" s="14" t="s">
        <v>130</v>
      </c>
      <c r="S509" s="14" t="s">
        <v>125</v>
      </c>
    </row>
    <row r="510" customFormat="false" ht="15" hidden="false" customHeight="false" outlineLevel="0" collapsed="false">
      <c r="A510" s="14" t="s">
        <v>1064</v>
      </c>
      <c r="B510" s="15" t="n">
        <v>46200</v>
      </c>
      <c r="C510" s="14" t="s">
        <v>614</v>
      </c>
      <c r="D510" s="14" t="s">
        <v>615</v>
      </c>
      <c r="E510" s="14" t="s">
        <v>194</v>
      </c>
      <c r="F510" s="14" t="s">
        <v>195</v>
      </c>
      <c r="G510" s="14" t="s">
        <v>141</v>
      </c>
      <c r="H510" s="14" t="s">
        <v>73</v>
      </c>
      <c r="I510" s="14" t="str">
        <f aca="false">IFERROR(INDEX(Calculations!$B$6:$B$27,MATCH(H510,Calculations!$A$6:$A$27,0)),"Unknown")</f>
        <v>Wearables</v>
      </c>
      <c r="J510" s="14" t="n">
        <v>3</v>
      </c>
      <c r="K510" s="16" t="n">
        <v>1989.2</v>
      </c>
      <c r="L510" s="17" t="n">
        <v>0</v>
      </c>
      <c r="M510" s="18" t="n">
        <f aca="false">J510*K510*(1-L510)</f>
        <v>5967.6</v>
      </c>
      <c r="N510" s="18" t="n">
        <f aca="false">J510*IFERROR(INDEX(Calculations!$C$6:$C$27,MATCH(H510,Calculations!$A$6:$A$27,0)),0)</f>
        <v>3300</v>
      </c>
      <c r="O510" s="18" t="n">
        <f aca="false">M510-N510</f>
        <v>2667.6</v>
      </c>
      <c r="P510" s="18" t="n">
        <f aca="false">M510*IFERROR(INDEX(Calculations!$F$6:$F$11,MATCH(I510,Calculations!$E$6:$E$11,0)),0.1)</f>
        <v>537.084</v>
      </c>
      <c r="Q510" s="18" t="n">
        <f aca="false">O510-P510</f>
        <v>2130.516</v>
      </c>
      <c r="R510" s="14" t="s">
        <v>135</v>
      </c>
      <c r="S510" s="14" t="s">
        <v>125</v>
      </c>
    </row>
    <row r="511" customFormat="false" ht="15" hidden="false" customHeight="false" outlineLevel="0" collapsed="false">
      <c r="A511" s="14" t="s">
        <v>1065</v>
      </c>
      <c r="B511" s="15" t="n">
        <v>46200</v>
      </c>
      <c r="C511" s="14" t="s">
        <v>1066</v>
      </c>
      <c r="D511" s="14" t="s">
        <v>1067</v>
      </c>
      <c r="E511" s="14" t="s">
        <v>145</v>
      </c>
      <c r="F511" s="14" t="s">
        <v>146</v>
      </c>
      <c r="G511" s="14" t="s">
        <v>134</v>
      </c>
      <c r="H511" s="14" t="s">
        <v>52</v>
      </c>
      <c r="I511" s="14" t="str">
        <f aca="false">IFERROR(INDEX(Calculations!$B$6:$B$27,MATCH(H511,Calculations!$A$6:$A$27,0)),"Unknown")</f>
        <v>Audio</v>
      </c>
      <c r="J511" s="14" t="n">
        <v>2</v>
      </c>
      <c r="K511" s="16" t="n">
        <v>1918.32</v>
      </c>
      <c r="L511" s="17" t="n">
        <v>0.15</v>
      </c>
      <c r="M511" s="18" t="n">
        <f aca="false">J511*K511*(1-L511)</f>
        <v>3261.144</v>
      </c>
      <c r="N511" s="18" t="n">
        <f aca="false">J511*IFERROR(INDEX(Calculations!$C$6:$C$27,MATCH(H511,Calculations!$A$6:$A$27,0)),0)</f>
        <v>1800</v>
      </c>
      <c r="O511" s="18" t="n">
        <f aca="false">M511-N511</f>
        <v>1461.144</v>
      </c>
      <c r="P511" s="18" t="n">
        <f aca="false">M511*IFERROR(INDEX(Calculations!$F$6:$F$11,MATCH(I511,Calculations!$E$6:$E$11,0)),0.1)</f>
        <v>326.1144</v>
      </c>
      <c r="Q511" s="18" t="n">
        <f aca="false">O511-P511</f>
        <v>1135.0296</v>
      </c>
      <c r="R511" s="14" t="s">
        <v>124</v>
      </c>
      <c r="S511" s="14" t="s">
        <v>125</v>
      </c>
    </row>
    <row r="512" customFormat="false" ht="15" hidden="false" customHeight="false" outlineLevel="0" collapsed="false">
      <c r="A512" s="14" t="s">
        <v>1068</v>
      </c>
      <c r="B512" s="15" t="n">
        <v>46201</v>
      </c>
      <c r="C512" s="14" t="s">
        <v>544</v>
      </c>
      <c r="D512" s="14" t="s">
        <v>545</v>
      </c>
      <c r="E512" s="14" t="s">
        <v>121</v>
      </c>
      <c r="F512" s="14" t="s">
        <v>122</v>
      </c>
      <c r="G512" s="14" t="s">
        <v>209</v>
      </c>
      <c r="H512" s="14" t="s">
        <v>66</v>
      </c>
      <c r="I512" s="14" t="str">
        <f aca="false">IFERROR(INDEX(Calculations!$B$6:$B$27,MATCH(H512,Calculations!$A$6:$A$27,0)),"Unknown")</f>
        <v>Computer Peripherals</v>
      </c>
      <c r="J512" s="14" t="n">
        <v>5</v>
      </c>
      <c r="K512" s="16" t="n">
        <v>13359.99</v>
      </c>
      <c r="L512" s="17" t="n">
        <v>0</v>
      </c>
      <c r="M512" s="18" t="n">
        <f aca="false">J512*K512*(1-L512)</f>
        <v>66799.95</v>
      </c>
      <c r="N512" s="18" t="n">
        <f aca="false">J512*IFERROR(INDEX(Calculations!$C$6:$C$27,MATCH(H512,Calculations!$A$6:$A$27,0)),0)</f>
        <v>36000</v>
      </c>
      <c r="O512" s="18" t="n">
        <f aca="false">M512-N512</f>
        <v>30799.95</v>
      </c>
      <c r="P512" s="18" t="n">
        <f aca="false">M512*IFERROR(INDEX(Calculations!$F$6:$F$11,MATCH(I512,Calculations!$E$6:$E$11,0)),0.1)</f>
        <v>5343.996</v>
      </c>
      <c r="Q512" s="18" t="n">
        <f aca="false">O512-P512</f>
        <v>25455.954</v>
      </c>
      <c r="R512" s="14" t="s">
        <v>135</v>
      </c>
      <c r="S512" s="14" t="s">
        <v>125</v>
      </c>
    </row>
    <row r="513" customFormat="false" ht="15" hidden="false" customHeight="false" outlineLevel="0" collapsed="false">
      <c r="A513" s="14" t="s">
        <v>1069</v>
      </c>
      <c r="B513" s="15" t="n">
        <v>46201</v>
      </c>
      <c r="C513" s="14" t="s">
        <v>445</v>
      </c>
      <c r="D513" s="14" t="s">
        <v>446</v>
      </c>
      <c r="E513" s="14" t="s">
        <v>121</v>
      </c>
      <c r="F513" s="14" t="s">
        <v>129</v>
      </c>
      <c r="G513" s="14" t="s">
        <v>147</v>
      </c>
      <c r="H513" s="14" t="s">
        <v>63</v>
      </c>
      <c r="I513" s="14" t="str">
        <f aca="false">IFERROR(INDEX(Calculations!$B$6:$B$27,MATCH(H513,Calculations!$A$6:$A$27,0)),"Unknown")</f>
        <v>Mobile Accessories</v>
      </c>
      <c r="J513" s="14" t="n">
        <v>3</v>
      </c>
      <c r="K513" s="16" t="n">
        <v>342.55</v>
      </c>
      <c r="L513" s="17" t="n">
        <v>0.05</v>
      </c>
      <c r="M513" s="18" t="n">
        <f aca="false">J513*K513*(1-L513)</f>
        <v>976.2675</v>
      </c>
      <c r="N513" s="18" t="n">
        <f aca="false">J513*IFERROR(INDEX(Calculations!$C$6:$C$27,MATCH(H513,Calculations!$A$6:$A$27,0)),0)</f>
        <v>450</v>
      </c>
      <c r="O513" s="18" t="n">
        <f aca="false">M513-N513</f>
        <v>526.2675</v>
      </c>
      <c r="P513" s="18" t="n">
        <f aca="false">M513*IFERROR(INDEX(Calculations!$F$6:$F$11,MATCH(I513,Calculations!$E$6:$E$11,0)),0.1)</f>
        <v>117.1521</v>
      </c>
      <c r="Q513" s="18" t="n">
        <f aca="false">O513-P513</f>
        <v>409.1154</v>
      </c>
      <c r="R513" s="14" t="s">
        <v>130</v>
      </c>
      <c r="S513" s="14" t="s">
        <v>210</v>
      </c>
    </row>
    <row r="514" customFormat="false" ht="15" hidden="false" customHeight="false" outlineLevel="0" collapsed="false">
      <c r="A514" s="14" t="s">
        <v>1070</v>
      </c>
      <c r="B514" s="15" t="n">
        <v>46204</v>
      </c>
      <c r="C514" s="14" t="s">
        <v>230</v>
      </c>
      <c r="D514" s="14" t="s">
        <v>231</v>
      </c>
      <c r="E514" s="14" t="s">
        <v>145</v>
      </c>
      <c r="F514" s="14" t="s">
        <v>174</v>
      </c>
      <c r="G514" s="14" t="s">
        <v>141</v>
      </c>
      <c r="H514" s="14" t="s">
        <v>58</v>
      </c>
      <c r="I514" s="14" t="str">
        <f aca="false">IFERROR(INDEX(Calculations!$B$6:$B$27,MATCH(H514,Calculations!$A$6:$A$27,0)),"Unknown")</f>
        <v>Mobile Accessories</v>
      </c>
      <c r="J514" s="14" t="n">
        <v>1</v>
      </c>
      <c r="K514" s="16" t="n">
        <v>518.67</v>
      </c>
      <c r="L514" s="17" t="n">
        <v>0.05</v>
      </c>
      <c r="M514" s="18" t="n">
        <f aca="false">J514*K514*(1-L514)</f>
        <v>492.7365</v>
      </c>
      <c r="N514" s="18" t="n">
        <f aca="false">J514*IFERROR(INDEX(Calculations!$C$6:$C$27,MATCH(H514,Calculations!$A$6:$A$27,0)),0)</f>
        <v>220</v>
      </c>
      <c r="O514" s="18" t="n">
        <f aca="false">M514-N514</f>
        <v>272.7365</v>
      </c>
      <c r="P514" s="18" t="n">
        <f aca="false">M514*IFERROR(INDEX(Calculations!$F$6:$F$11,MATCH(I514,Calculations!$E$6:$E$11,0)),0.1)</f>
        <v>59.12838</v>
      </c>
      <c r="Q514" s="18" t="n">
        <f aca="false">O514-P514</f>
        <v>213.60812</v>
      </c>
      <c r="R514" s="14" t="s">
        <v>130</v>
      </c>
      <c r="S514" s="14" t="s">
        <v>148</v>
      </c>
    </row>
    <row r="515" customFormat="false" ht="15" hidden="false" customHeight="false" outlineLevel="0" collapsed="false">
      <c r="A515" s="14" t="s">
        <v>1071</v>
      </c>
      <c r="B515" s="15" t="n">
        <v>46204</v>
      </c>
      <c r="C515" s="14" t="s">
        <v>555</v>
      </c>
      <c r="D515" s="14" t="s">
        <v>556</v>
      </c>
      <c r="E515" s="14" t="s">
        <v>145</v>
      </c>
      <c r="F515" s="14" t="s">
        <v>174</v>
      </c>
      <c r="G515" s="14" t="s">
        <v>209</v>
      </c>
      <c r="H515" s="14" t="s">
        <v>74</v>
      </c>
      <c r="I515" s="14" t="str">
        <f aca="false">IFERROR(INDEX(Calculations!$B$6:$B$27,MATCH(H515,Calculations!$A$6:$A$27,0)),"Unknown")</f>
        <v>Wearables</v>
      </c>
      <c r="J515" s="14" t="n">
        <v>2</v>
      </c>
      <c r="K515" s="16" t="n">
        <v>6434.7</v>
      </c>
      <c r="L515" s="17" t="n">
        <v>0.15</v>
      </c>
      <c r="M515" s="18" t="n">
        <f aca="false">J515*K515*(1-L515)</f>
        <v>10938.99</v>
      </c>
      <c r="N515" s="18" t="n">
        <f aca="false">J515*IFERROR(INDEX(Calculations!$C$6:$C$27,MATCH(H515,Calculations!$A$6:$A$27,0)),0)</f>
        <v>7600</v>
      </c>
      <c r="O515" s="18" t="n">
        <f aca="false">M515-N515</f>
        <v>3338.99</v>
      </c>
      <c r="P515" s="18" t="n">
        <f aca="false">M515*IFERROR(INDEX(Calculations!$F$6:$F$11,MATCH(I515,Calculations!$E$6:$E$11,0)),0.1)</f>
        <v>984.5091</v>
      </c>
      <c r="Q515" s="18" t="n">
        <f aca="false">O515-P515</f>
        <v>2354.4809</v>
      </c>
      <c r="R515" s="14" t="s">
        <v>124</v>
      </c>
      <c r="S515" s="14" t="s">
        <v>125</v>
      </c>
    </row>
    <row r="516" customFormat="false" ht="15" hidden="false" customHeight="false" outlineLevel="0" collapsed="false">
      <c r="A516" s="14" t="s">
        <v>1072</v>
      </c>
      <c r="B516" s="15" t="n">
        <v>46205</v>
      </c>
      <c r="C516" s="14" t="s">
        <v>389</v>
      </c>
      <c r="D516" s="14" t="s">
        <v>390</v>
      </c>
      <c r="E516" s="14" t="s">
        <v>145</v>
      </c>
      <c r="F516" s="14" t="s">
        <v>174</v>
      </c>
      <c r="G516" s="14" t="s">
        <v>147</v>
      </c>
      <c r="H516" s="14" t="s">
        <v>56</v>
      </c>
      <c r="I516" s="14" t="str">
        <f aca="false">IFERROR(INDEX(Calculations!$B$6:$B$27,MATCH(H516,Calculations!$A$6:$A$27,0)),"Unknown")</f>
        <v>Audio</v>
      </c>
      <c r="J516" s="14" t="n">
        <v>2</v>
      </c>
      <c r="K516" s="16" t="n">
        <v>926.91</v>
      </c>
      <c r="L516" s="17" t="n">
        <v>0.05</v>
      </c>
      <c r="M516" s="18" t="n">
        <f aca="false">J516*K516*(1-L516)</f>
        <v>1761.129</v>
      </c>
      <c r="N516" s="18" t="n">
        <f aca="false">J516*IFERROR(INDEX(Calculations!$C$6:$C$27,MATCH(H516,Calculations!$A$6:$A$27,0)),0)</f>
        <v>900</v>
      </c>
      <c r="O516" s="18" t="n">
        <f aca="false">M516-N516</f>
        <v>861.129</v>
      </c>
      <c r="P516" s="18" t="n">
        <f aca="false">M516*IFERROR(INDEX(Calculations!$F$6:$F$11,MATCH(I516,Calculations!$E$6:$E$11,0)),0.1)</f>
        <v>176.1129</v>
      </c>
      <c r="Q516" s="18" t="n">
        <f aca="false">O516-P516</f>
        <v>685.0161</v>
      </c>
      <c r="R516" s="14" t="s">
        <v>165</v>
      </c>
      <c r="S516" s="14" t="s">
        <v>125</v>
      </c>
    </row>
    <row r="517" customFormat="false" ht="15" hidden="false" customHeight="false" outlineLevel="0" collapsed="false">
      <c r="A517" s="14" t="s">
        <v>1073</v>
      </c>
      <c r="B517" s="15" t="n">
        <v>46205</v>
      </c>
      <c r="C517" s="14" t="s">
        <v>537</v>
      </c>
      <c r="D517" s="14" t="s">
        <v>538</v>
      </c>
      <c r="E517" s="14" t="s">
        <v>156</v>
      </c>
      <c r="F517" s="14" t="s">
        <v>169</v>
      </c>
      <c r="G517" s="14" t="s">
        <v>147</v>
      </c>
      <c r="H517" s="14" t="s">
        <v>68</v>
      </c>
      <c r="I517" s="14" t="str">
        <f aca="false">IFERROR(INDEX(Calculations!$B$6:$B$27,MATCH(H517,Calculations!$A$6:$A$27,0)),"Unknown")</f>
        <v>Computer Peripherals</v>
      </c>
      <c r="J517" s="14" t="n">
        <v>3</v>
      </c>
      <c r="K517" s="16" t="n">
        <v>984.29</v>
      </c>
      <c r="L517" s="17" t="n">
        <v>0.05</v>
      </c>
      <c r="M517" s="18" t="n">
        <f aca="false">J517*K517*(1-L517)</f>
        <v>2805.2265</v>
      </c>
      <c r="N517" s="18" t="n">
        <f aca="false">J517*IFERROR(INDEX(Calculations!$C$6:$C$27,MATCH(H517,Calculations!$A$6:$A$27,0)),0)</f>
        <v>1500</v>
      </c>
      <c r="O517" s="18" t="n">
        <f aca="false">M517-N517</f>
        <v>1305.2265</v>
      </c>
      <c r="P517" s="18" t="n">
        <f aca="false">M517*IFERROR(INDEX(Calculations!$F$6:$F$11,MATCH(I517,Calculations!$E$6:$E$11,0)),0.1)</f>
        <v>224.41812</v>
      </c>
      <c r="Q517" s="18" t="n">
        <f aca="false">O517-P517</f>
        <v>1080.80838</v>
      </c>
      <c r="R517" s="14" t="s">
        <v>130</v>
      </c>
      <c r="S517" s="14" t="s">
        <v>125</v>
      </c>
    </row>
    <row r="518" customFormat="false" ht="15" hidden="false" customHeight="false" outlineLevel="0" collapsed="false">
      <c r="A518" s="14" t="s">
        <v>1074</v>
      </c>
      <c r="B518" s="15" t="n">
        <v>46205</v>
      </c>
      <c r="C518" s="14" t="s">
        <v>978</v>
      </c>
      <c r="D518" s="14" t="s">
        <v>979</v>
      </c>
      <c r="E518" s="14" t="s">
        <v>156</v>
      </c>
      <c r="F518" s="14" t="s">
        <v>169</v>
      </c>
      <c r="G518" s="14" t="s">
        <v>161</v>
      </c>
      <c r="H518" s="14" t="s">
        <v>75</v>
      </c>
      <c r="I518" s="14" t="str">
        <f aca="false">IFERROR(INDEX(Calculations!$B$6:$B$27,MATCH(H518,Calculations!$A$6:$A$27,0)),"Unknown")</f>
        <v>Wearables</v>
      </c>
      <c r="J518" s="14" t="n">
        <v>3</v>
      </c>
      <c r="K518" s="16" t="n">
        <v>3324.72</v>
      </c>
      <c r="L518" s="17" t="n">
        <v>0.2</v>
      </c>
      <c r="M518" s="18" t="n">
        <f aca="false">J518*K518*(1-L518)</f>
        <v>7979.328</v>
      </c>
      <c r="N518" s="18" t="n">
        <f aca="false">J518*IFERROR(INDEX(Calculations!$C$6:$C$27,MATCH(H518,Calculations!$A$6:$A$27,0)),0)</f>
        <v>5700</v>
      </c>
      <c r="O518" s="18" t="n">
        <f aca="false">M518-N518</f>
        <v>2279.328</v>
      </c>
      <c r="P518" s="18" t="n">
        <f aca="false">M518*IFERROR(INDEX(Calculations!$F$6:$F$11,MATCH(I518,Calculations!$E$6:$E$11,0)),0.1)</f>
        <v>718.13952</v>
      </c>
      <c r="Q518" s="18" t="n">
        <f aca="false">O518-P518</f>
        <v>1561.18848</v>
      </c>
      <c r="R518" s="14" t="s">
        <v>165</v>
      </c>
      <c r="S518" s="14" t="s">
        <v>125</v>
      </c>
    </row>
    <row r="519" customFormat="false" ht="15" hidden="false" customHeight="false" outlineLevel="0" collapsed="false">
      <c r="A519" s="14" t="s">
        <v>1075</v>
      </c>
      <c r="B519" s="15" t="n">
        <v>46207</v>
      </c>
      <c r="C519" s="14" t="s">
        <v>571</v>
      </c>
      <c r="D519" s="14" t="s">
        <v>572</v>
      </c>
      <c r="E519" s="14" t="s">
        <v>139</v>
      </c>
      <c r="F519" s="14" t="s">
        <v>140</v>
      </c>
      <c r="G519" s="14" t="s">
        <v>170</v>
      </c>
      <c r="H519" s="14" t="s">
        <v>71</v>
      </c>
      <c r="I519" s="14" t="str">
        <f aca="false">IFERROR(INDEX(Calculations!$B$6:$B$27,MATCH(H519,Calculations!$A$6:$A$27,0)),"Unknown")</f>
        <v>Smart Home</v>
      </c>
      <c r="J519" s="14" t="n">
        <v>1</v>
      </c>
      <c r="K519" s="16" t="n">
        <v>901.32</v>
      </c>
      <c r="L519" s="17" t="n">
        <v>0.05</v>
      </c>
      <c r="M519" s="18" t="n">
        <f aca="false">J519*K519*(1-L519)</f>
        <v>856.254</v>
      </c>
      <c r="N519" s="18" t="n">
        <f aca="false">J519*IFERROR(INDEX(Calculations!$C$6:$C$27,MATCH(H519,Calculations!$A$6:$A$27,0)),0)</f>
        <v>450</v>
      </c>
      <c r="O519" s="18" t="n">
        <f aca="false">M519-N519</f>
        <v>406.254</v>
      </c>
      <c r="P519" s="18" t="n">
        <f aca="false">M519*IFERROR(INDEX(Calculations!$F$6:$F$11,MATCH(I519,Calculations!$E$6:$E$11,0)),0.1)</f>
        <v>94.18794</v>
      </c>
      <c r="Q519" s="18" t="n">
        <f aca="false">O519-P519</f>
        <v>312.06606</v>
      </c>
      <c r="R519" s="14" t="s">
        <v>130</v>
      </c>
      <c r="S519" s="14" t="s">
        <v>125</v>
      </c>
    </row>
    <row r="520" customFormat="false" ht="15" hidden="false" customHeight="false" outlineLevel="0" collapsed="false">
      <c r="A520" s="14" t="s">
        <v>1076</v>
      </c>
      <c r="B520" s="15" t="n">
        <v>46207</v>
      </c>
      <c r="C520" s="14" t="s">
        <v>304</v>
      </c>
      <c r="D520" s="14" t="s">
        <v>305</v>
      </c>
      <c r="E520" s="14" t="s">
        <v>156</v>
      </c>
      <c r="F520" s="14" t="s">
        <v>157</v>
      </c>
      <c r="G520" s="14" t="s">
        <v>134</v>
      </c>
      <c r="H520" s="14" t="s">
        <v>71</v>
      </c>
      <c r="I520" s="14" t="str">
        <f aca="false">IFERROR(INDEX(Calculations!$B$6:$B$27,MATCH(H520,Calculations!$A$6:$A$27,0)),"Unknown")</f>
        <v>Smart Home</v>
      </c>
      <c r="J520" s="14" t="n">
        <v>4</v>
      </c>
      <c r="K520" s="16" t="n">
        <v>901.83</v>
      </c>
      <c r="L520" s="17" t="n">
        <v>0</v>
      </c>
      <c r="M520" s="18" t="n">
        <f aca="false">J520*K520*(1-L520)</f>
        <v>3607.32</v>
      </c>
      <c r="N520" s="18" t="n">
        <f aca="false">J520*IFERROR(INDEX(Calculations!$C$6:$C$27,MATCH(H520,Calculations!$A$6:$A$27,0)),0)</f>
        <v>1800</v>
      </c>
      <c r="O520" s="18" t="n">
        <f aca="false">M520-N520</f>
        <v>1807.32</v>
      </c>
      <c r="P520" s="18" t="n">
        <f aca="false">M520*IFERROR(INDEX(Calculations!$F$6:$F$11,MATCH(I520,Calculations!$E$6:$E$11,0)),0.1)</f>
        <v>396.8052</v>
      </c>
      <c r="Q520" s="18" t="n">
        <f aca="false">O520-P520</f>
        <v>1410.5148</v>
      </c>
      <c r="R520" s="14" t="s">
        <v>243</v>
      </c>
      <c r="S520" s="14" t="s">
        <v>125</v>
      </c>
    </row>
    <row r="521" customFormat="false" ht="15" hidden="false" customHeight="false" outlineLevel="0" collapsed="false">
      <c r="A521" s="14" t="s">
        <v>1077</v>
      </c>
      <c r="B521" s="15" t="n">
        <v>46207</v>
      </c>
      <c r="C521" s="14" t="s">
        <v>1078</v>
      </c>
      <c r="D521" s="14" t="s">
        <v>1079</v>
      </c>
      <c r="E521" s="14" t="s">
        <v>145</v>
      </c>
      <c r="F521" s="14" t="s">
        <v>174</v>
      </c>
      <c r="G521" s="14" t="s">
        <v>209</v>
      </c>
      <c r="H521" s="14" t="s">
        <v>72</v>
      </c>
      <c r="I521" s="14" t="str">
        <f aca="false">IFERROR(INDEX(Calculations!$B$6:$B$27,MATCH(H521,Calculations!$A$6:$A$27,0)),"Unknown")</f>
        <v>Smart Home</v>
      </c>
      <c r="J521" s="14" t="n">
        <v>1</v>
      </c>
      <c r="K521" s="16" t="n">
        <v>4656.57</v>
      </c>
      <c r="L521" s="17" t="n">
        <v>0</v>
      </c>
      <c r="M521" s="18" t="n">
        <f aca="false">J521*K521*(1-L521)</f>
        <v>4656.57</v>
      </c>
      <c r="N521" s="18" t="n">
        <f aca="false">J521*IFERROR(INDEX(Calculations!$C$6:$C$27,MATCH(H521,Calculations!$A$6:$A$27,0)),0)</f>
        <v>2600</v>
      </c>
      <c r="O521" s="18" t="n">
        <f aca="false">M521-N521</f>
        <v>2056.57</v>
      </c>
      <c r="P521" s="18" t="n">
        <f aca="false">M521*IFERROR(INDEX(Calculations!$F$6:$F$11,MATCH(I521,Calculations!$E$6:$E$11,0)),0.1)</f>
        <v>512.2227</v>
      </c>
      <c r="Q521" s="18" t="n">
        <f aca="false">O521-P521</f>
        <v>1544.3473</v>
      </c>
      <c r="R521" s="14" t="s">
        <v>130</v>
      </c>
      <c r="S521" s="14" t="s">
        <v>125</v>
      </c>
    </row>
    <row r="522" customFormat="false" ht="15" hidden="false" customHeight="false" outlineLevel="0" collapsed="false">
      <c r="A522" s="14" t="s">
        <v>1080</v>
      </c>
      <c r="B522" s="15" t="n">
        <v>46208</v>
      </c>
      <c r="C522" s="14" t="s">
        <v>1078</v>
      </c>
      <c r="D522" s="14" t="s">
        <v>1079</v>
      </c>
      <c r="E522" s="14" t="s">
        <v>145</v>
      </c>
      <c r="F522" s="14" t="s">
        <v>174</v>
      </c>
      <c r="G522" s="14" t="s">
        <v>147</v>
      </c>
      <c r="H522" s="14" t="s">
        <v>69</v>
      </c>
      <c r="I522" s="14" t="str">
        <f aca="false">IFERROR(INDEX(Calculations!$B$6:$B$27,MATCH(H522,Calculations!$A$6:$A$27,0)),"Unknown")</f>
        <v>Smart Home</v>
      </c>
      <c r="J522" s="14" t="n">
        <v>2</v>
      </c>
      <c r="K522" s="16" t="n">
        <v>809.46</v>
      </c>
      <c r="L522" s="17" t="n">
        <v>0.1</v>
      </c>
      <c r="M522" s="18" t="n">
        <f aca="false">J522*K522*(1-L522)</f>
        <v>1457.028</v>
      </c>
      <c r="N522" s="18" t="n">
        <f aca="false">J522*IFERROR(INDEX(Calculations!$C$6:$C$27,MATCH(H522,Calculations!$A$6:$A$27,0)),0)</f>
        <v>700</v>
      </c>
      <c r="O522" s="18" t="n">
        <f aca="false">M522-N522</f>
        <v>757.028</v>
      </c>
      <c r="P522" s="18" t="n">
        <f aca="false">M522*IFERROR(INDEX(Calculations!$F$6:$F$11,MATCH(I522,Calculations!$E$6:$E$11,0)),0.1)</f>
        <v>160.27308</v>
      </c>
      <c r="Q522" s="18" t="n">
        <f aca="false">O522-P522</f>
        <v>596.75492</v>
      </c>
      <c r="R522" s="14" t="s">
        <v>130</v>
      </c>
      <c r="S522" s="14" t="s">
        <v>210</v>
      </c>
    </row>
    <row r="523" customFormat="false" ht="15" hidden="false" customHeight="false" outlineLevel="0" collapsed="false">
      <c r="A523" s="14" t="s">
        <v>1081</v>
      </c>
      <c r="B523" s="15" t="n">
        <v>46212</v>
      </c>
      <c r="C523" s="14" t="s">
        <v>398</v>
      </c>
      <c r="D523" s="14" t="s">
        <v>399</v>
      </c>
      <c r="E523" s="14" t="s">
        <v>139</v>
      </c>
      <c r="F523" s="14" t="s">
        <v>152</v>
      </c>
      <c r="G523" s="14" t="s">
        <v>147</v>
      </c>
      <c r="H523" s="14" t="s">
        <v>52</v>
      </c>
      <c r="I523" s="14" t="str">
        <f aca="false">IFERROR(INDEX(Calculations!$B$6:$B$27,MATCH(H523,Calculations!$A$6:$A$27,0)),"Unknown")</f>
        <v>Audio</v>
      </c>
      <c r="J523" s="14" t="n">
        <v>3</v>
      </c>
      <c r="K523" s="16" t="n">
        <v>1831.01</v>
      </c>
      <c r="L523" s="17" t="n">
        <v>0.05</v>
      </c>
      <c r="M523" s="18" t="n">
        <f aca="false">J523*K523*(1-L523)</f>
        <v>5218.3785</v>
      </c>
      <c r="N523" s="18" t="n">
        <f aca="false">J523*IFERROR(INDEX(Calculations!$C$6:$C$27,MATCH(H523,Calculations!$A$6:$A$27,0)),0)</f>
        <v>2700</v>
      </c>
      <c r="O523" s="18" t="n">
        <f aca="false">M523-N523</f>
        <v>2518.3785</v>
      </c>
      <c r="P523" s="18" t="n">
        <f aca="false">M523*IFERROR(INDEX(Calculations!$F$6:$F$11,MATCH(I523,Calculations!$E$6:$E$11,0)),0.1)</f>
        <v>521.83785</v>
      </c>
      <c r="Q523" s="18" t="n">
        <f aca="false">O523-P523</f>
        <v>1996.54065</v>
      </c>
      <c r="R523" s="14" t="s">
        <v>135</v>
      </c>
      <c r="S523" s="14" t="s">
        <v>125</v>
      </c>
    </row>
    <row r="524" customFormat="false" ht="15" hidden="false" customHeight="false" outlineLevel="0" collapsed="false">
      <c r="A524" s="14" t="s">
        <v>1082</v>
      </c>
      <c r="B524" s="15" t="n">
        <v>46212</v>
      </c>
      <c r="C524" s="14" t="s">
        <v>1078</v>
      </c>
      <c r="D524" s="14" t="s">
        <v>1079</v>
      </c>
      <c r="E524" s="14" t="s">
        <v>145</v>
      </c>
      <c r="F524" s="14" t="s">
        <v>174</v>
      </c>
      <c r="G524" s="14" t="s">
        <v>141</v>
      </c>
      <c r="H524" s="14" t="s">
        <v>54</v>
      </c>
      <c r="I524" s="14" t="str">
        <f aca="false">IFERROR(INDEX(Calculations!$B$6:$B$27,MATCH(H524,Calculations!$A$6:$A$27,0)),"Unknown")</f>
        <v>Audio</v>
      </c>
      <c r="J524" s="14" t="n">
        <v>3</v>
      </c>
      <c r="K524" s="16" t="n">
        <v>2779.74</v>
      </c>
      <c r="L524" s="17" t="n">
        <v>0.1</v>
      </c>
      <c r="M524" s="18" t="n">
        <f aca="false">J524*K524*(1-L524)</f>
        <v>7505.298</v>
      </c>
      <c r="N524" s="18" t="n">
        <f aca="false">J524*IFERROR(INDEX(Calculations!$C$6:$C$27,MATCH(H524,Calculations!$A$6:$A$27,0)),0)</f>
        <v>4200</v>
      </c>
      <c r="O524" s="18" t="n">
        <f aca="false">M524-N524</f>
        <v>3305.298</v>
      </c>
      <c r="P524" s="18" t="n">
        <f aca="false">M524*IFERROR(INDEX(Calculations!$F$6:$F$11,MATCH(I524,Calculations!$E$6:$E$11,0)),0.1)</f>
        <v>750.5298</v>
      </c>
      <c r="Q524" s="18" t="n">
        <f aca="false">O524-P524</f>
        <v>2554.7682</v>
      </c>
      <c r="R524" s="14" t="s">
        <v>130</v>
      </c>
      <c r="S524" s="14" t="s">
        <v>125</v>
      </c>
    </row>
    <row r="525" customFormat="false" ht="15" hidden="false" customHeight="false" outlineLevel="0" collapsed="false">
      <c r="A525" s="14" t="s">
        <v>1083</v>
      </c>
      <c r="B525" s="15" t="n">
        <v>46214</v>
      </c>
      <c r="C525" s="14" t="s">
        <v>264</v>
      </c>
      <c r="D525" s="14" t="s">
        <v>265</v>
      </c>
      <c r="E525" s="14" t="s">
        <v>145</v>
      </c>
      <c r="F525" s="14" t="s">
        <v>146</v>
      </c>
      <c r="G525" s="14" t="s">
        <v>175</v>
      </c>
      <c r="H525" s="14" t="s">
        <v>68</v>
      </c>
      <c r="I525" s="14" t="str">
        <f aca="false">IFERROR(INDEX(Calculations!$B$6:$B$27,MATCH(H525,Calculations!$A$6:$A$27,0)),"Unknown")</f>
        <v>Computer Peripherals</v>
      </c>
      <c r="J525" s="14" t="n">
        <v>4</v>
      </c>
      <c r="K525" s="16" t="n">
        <v>974.08</v>
      </c>
      <c r="L525" s="17" t="n">
        <v>0.1</v>
      </c>
      <c r="M525" s="18" t="n">
        <f aca="false">J525*K525*(1-L525)</f>
        <v>3506.688</v>
      </c>
      <c r="N525" s="18" t="n">
        <f aca="false">J525*IFERROR(INDEX(Calculations!$C$6:$C$27,MATCH(H525,Calculations!$A$6:$A$27,0)),0)</f>
        <v>2000</v>
      </c>
      <c r="O525" s="18" t="n">
        <f aca="false">M525-N525</f>
        <v>1506.688</v>
      </c>
      <c r="P525" s="18" t="n">
        <f aca="false">M525*IFERROR(INDEX(Calculations!$F$6:$F$11,MATCH(I525,Calculations!$E$6:$E$11,0)),0.1)</f>
        <v>280.53504</v>
      </c>
      <c r="Q525" s="18" t="n">
        <f aca="false">O525-P525</f>
        <v>1226.15296</v>
      </c>
      <c r="R525" s="14" t="s">
        <v>135</v>
      </c>
      <c r="S525" s="14" t="s">
        <v>125</v>
      </c>
    </row>
    <row r="526" customFormat="false" ht="15" hidden="false" customHeight="false" outlineLevel="0" collapsed="false">
      <c r="A526" s="14" t="s">
        <v>1084</v>
      </c>
      <c r="B526" s="15" t="n">
        <v>46214</v>
      </c>
      <c r="C526" s="14" t="s">
        <v>452</v>
      </c>
      <c r="D526" s="14" t="s">
        <v>453</v>
      </c>
      <c r="E526" s="14" t="s">
        <v>156</v>
      </c>
      <c r="F526" s="14" t="s">
        <v>157</v>
      </c>
      <c r="G526" s="14" t="s">
        <v>175</v>
      </c>
      <c r="H526" s="14" t="s">
        <v>72</v>
      </c>
      <c r="I526" s="14" t="str">
        <f aca="false">IFERROR(INDEX(Calculations!$B$6:$B$27,MATCH(H526,Calculations!$A$6:$A$27,0)),"Unknown")</f>
        <v>Smart Home</v>
      </c>
      <c r="J526" s="14" t="n">
        <v>1</v>
      </c>
      <c r="K526" s="16" t="n">
        <v>4608.54</v>
      </c>
      <c r="L526" s="17" t="n">
        <v>0.2</v>
      </c>
      <c r="M526" s="18" t="n">
        <f aca="false">J526*K526*(1-L526)</f>
        <v>3686.832</v>
      </c>
      <c r="N526" s="18" t="n">
        <f aca="false">J526*IFERROR(INDEX(Calculations!$C$6:$C$27,MATCH(H526,Calculations!$A$6:$A$27,0)),0)</f>
        <v>2600</v>
      </c>
      <c r="O526" s="18" t="n">
        <f aca="false">M526-N526</f>
        <v>1086.832</v>
      </c>
      <c r="P526" s="18" t="n">
        <f aca="false">M526*IFERROR(INDEX(Calculations!$F$6:$F$11,MATCH(I526,Calculations!$E$6:$E$11,0)),0.1)</f>
        <v>405.55152</v>
      </c>
      <c r="Q526" s="18" t="n">
        <f aca="false">O526-P526</f>
        <v>681.28048</v>
      </c>
      <c r="R526" s="14" t="s">
        <v>243</v>
      </c>
      <c r="S526" s="14" t="s">
        <v>125</v>
      </c>
    </row>
    <row r="527" customFormat="false" ht="15" hidden="false" customHeight="false" outlineLevel="0" collapsed="false">
      <c r="A527" s="14" t="s">
        <v>1085</v>
      </c>
      <c r="B527" s="15" t="n">
        <v>46215</v>
      </c>
      <c r="C527" s="14" t="s">
        <v>495</v>
      </c>
      <c r="D527" s="14" t="s">
        <v>496</v>
      </c>
      <c r="E527" s="14" t="s">
        <v>145</v>
      </c>
      <c r="F527" s="14" t="s">
        <v>174</v>
      </c>
      <c r="G527" s="14" t="s">
        <v>161</v>
      </c>
      <c r="H527" s="14" t="s">
        <v>69</v>
      </c>
      <c r="I527" s="14" t="str">
        <f aca="false">IFERROR(INDEX(Calculations!$B$6:$B$27,MATCH(H527,Calculations!$A$6:$A$27,0)),"Unknown")</f>
        <v>Smart Home</v>
      </c>
      <c r="J527" s="14" t="n">
        <v>4</v>
      </c>
      <c r="K527" s="16" t="n">
        <v>794.04</v>
      </c>
      <c r="L527" s="17" t="n">
        <v>0</v>
      </c>
      <c r="M527" s="18" t="n">
        <f aca="false">J527*K527*(1-L527)</f>
        <v>3176.16</v>
      </c>
      <c r="N527" s="18" t="n">
        <f aca="false">J527*IFERROR(INDEX(Calculations!$C$6:$C$27,MATCH(H527,Calculations!$A$6:$A$27,0)),0)</f>
        <v>1400</v>
      </c>
      <c r="O527" s="18" t="n">
        <f aca="false">M527-N527</f>
        <v>1776.16</v>
      </c>
      <c r="P527" s="18" t="n">
        <f aca="false">M527*IFERROR(INDEX(Calculations!$F$6:$F$11,MATCH(I527,Calculations!$E$6:$E$11,0)),0.1)</f>
        <v>349.3776</v>
      </c>
      <c r="Q527" s="18" t="n">
        <f aca="false">O527-P527</f>
        <v>1426.7824</v>
      </c>
      <c r="R527" s="14" t="s">
        <v>130</v>
      </c>
      <c r="S527" s="14" t="s">
        <v>125</v>
      </c>
    </row>
    <row r="528" customFormat="false" ht="15" hidden="false" customHeight="false" outlineLevel="0" collapsed="false">
      <c r="A528" s="14" t="s">
        <v>1086</v>
      </c>
      <c r="B528" s="15" t="n">
        <v>46216</v>
      </c>
      <c r="C528" s="14" t="s">
        <v>248</v>
      </c>
      <c r="D528" s="14" t="s">
        <v>249</v>
      </c>
      <c r="E528" s="14" t="s">
        <v>139</v>
      </c>
      <c r="F528" s="14" t="s">
        <v>140</v>
      </c>
      <c r="G528" s="14" t="s">
        <v>123</v>
      </c>
      <c r="H528" s="14" t="s">
        <v>76</v>
      </c>
      <c r="I528" s="14" t="str">
        <f aca="false">IFERROR(INDEX(Calculations!$B$6:$B$27,MATCH(H528,Calculations!$A$6:$A$27,0)),"Unknown")</f>
        <v>Cameras</v>
      </c>
      <c r="J528" s="14" t="n">
        <v>5</v>
      </c>
      <c r="K528" s="16" t="n">
        <v>7397.97</v>
      </c>
      <c r="L528" s="17" t="n">
        <v>0.1</v>
      </c>
      <c r="M528" s="18" t="n">
        <f aca="false">J528*K528*(1-L528)</f>
        <v>33290.865</v>
      </c>
      <c r="N528" s="18" t="n">
        <f aca="false">J528*IFERROR(INDEX(Calculations!$C$6:$C$27,MATCH(H528,Calculations!$A$6:$A$27,0)),0)</f>
        <v>21000</v>
      </c>
      <c r="O528" s="18" t="n">
        <f aca="false">M528-N528</f>
        <v>12290.865</v>
      </c>
      <c r="P528" s="18" t="n">
        <f aca="false">M528*IFERROR(INDEX(Calculations!$F$6:$F$11,MATCH(I528,Calculations!$E$6:$E$11,0)),0.1)</f>
        <v>2496.814875</v>
      </c>
      <c r="Q528" s="18" t="n">
        <f aca="false">O528-P528</f>
        <v>9794.050125</v>
      </c>
      <c r="R528" s="14" t="s">
        <v>130</v>
      </c>
      <c r="S528" s="14" t="s">
        <v>125</v>
      </c>
    </row>
    <row r="529" customFormat="false" ht="15" hidden="false" customHeight="false" outlineLevel="0" collapsed="false">
      <c r="A529" s="14" t="s">
        <v>1087</v>
      </c>
      <c r="B529" s="15" t="n">
        <v>46216</v>
      </c>
      <c r="C529" s="14" t="s">
        <v>942</v>
      </c>
      <c r="D529" s="14" t="s">
        <v>943</v>
      </c>
      <c r="E529" s="14" t="s">
        <v>194</v>
      </c>
      <c r="F529" s="14" t="s">
        <v>195</v>
      </c>
      <c r="G529" s="14" t="s">
        <v>147</v>
      </c>
      <c r="H529" s="14" t="s">
        <v>63</v>
      </c>
      <c r="I529" s="14" t="str">
        <f aca="false">IFERROR(INDEX(Calculations!$B$6:$B$27,MATCH(H529,Calculations!$A$6:$A$27,0)),"Unknown")</f>
        <v>Mobile Accessories</v>
      </c>
      <c r="J529" s="14" t="n">
        <v>3</v>
      </c>
      <c r="K529" s="16" t="n">
        <v>346.55</v>
      </c>
      <c r="L529" s="17" t="n">
        <v>0.05</v>
      </c>
      <c r="M529" s="18" t="n">
        <f aca="false">J529*K529*(1-L529)</f>
        <v>987.6675</v>
      </c>
      <c r="N529" s="18" t="n">
        <f aca="false">J529*IFERROR(INDEX(Calculations!$C$6:$C$27,MATCH(H529,Calculations!$A$6:$A$27,0)),0)</f>
        <v>450</v>
      </c>
      <c r="O529" s="18" t="n">
        <f aca="false">M529-N529</f>
        <v>537.6675</v>
      </c>
      <c r="P529" s="18" t="n">
        <f aca="false">M529*IFERROR(INDEX(Calculations!$F$6:$F$11,MATCH(I529,Calculations!$E$6:$E$11,0)),0.1)</f>
        <v>118.5201</v>
      </c>
      <c r="Q529" s="18" t="n">
        <f aca="false">O529-P529</f>
        <v>419.1474</v>
      </c>
      <c r="R529" s="14" t="s">
        <v>124</v>
      </c>
      <c r="S529" s="14" t="s">
        <v>125</v>
      </c>
    </row>
    <row r="530" customFormat="false" ht="15" hidden="false" customHeight="false" outlineLevel="0" collapsed="false">
      <c r="A530" s="14" t="s">
        <v>1088</v>
      </c>
      <c r="B530" s="15" t="n">
        <v>46216</v>
      </c>
      <c r="C530" s="14" t="s">
        <v>452</v>
      </c>
      <c r="D530" s="14" t="s">
        <v>453</v>
      </c>
      <c r="E530" s="14" t="s">
        <v>156</v>
      </c>
      <c r="F530" s="14" t="s">
        <v>157</v>
      </c>
      <c r="G530" s="14" t="s">
        <v>170</v>
      </c>
      <c r="H530" s="14" t="s">
        <v>54</v>
      </c>
      <c r="I530" s="14" t="str">
        <f aca="false">IFERROR(INDEX(Calculations!$B$6:$B$27,MATCH(H530,Calculations!$A$6:$A$27,0)),"Unknown")</f>
        <v>Audio</v>
      </c>
      <c r="J530" s="14" t="n">
        <v>2</v>
      </c>
      <c r="K530" s="16" t="n">
        <v>2858.17</v>
      </c>
      <c r="L530" s="17" t="n">
        <v>0.05</v>
      </c>
      <c r="M530" s="18" t="n">
        <f aca="false">J530*K530*(1-L530)</f>
        <v>5430.523</v>
      </c>
      <c r="N530" s="18" t="n">
        <f aca="false">J530*IFERROR(INDEX(Calculations!$C$6:$C$27,MATCH(H530,Calculations!$A$6:$A$27,0)),0)</f>
        <v>2800</v>
      </c>
      <c r="O530" s="18" t="n">
        <f aca="false">M530-N530</f>
        <v>2630.523</v>
      </c>
      <c r="P530" s="18" t="n">
        <f aca="false">M530*IFERROR(INDEX(Calculations!$F$6:$F$11,MATCH(I530,Calculations!$E$6:$E$11,0)),0.1)</f>
        <v>543.0523</v>
      </c>
      <c r="Q530" s="18" t="n">
        <f aca="false">O530-P530</f>
        <v>2087.4707</v>
      </c>
      <c r="R530" s="14" t="s">
        <v>130</v>
      </c>
      <c r="S530" s="14" t="s">
        <v>125</v>
      </c>
    </row>
    <row r="531" customFormat="false" ht="15" hidden="false" customHeight="false" outlineLevel="0" collapsed="false">
      <c r="A531" s="14" t="s">
        <v>1089</v>
      </c>
      <c r="B531" s="15" t="n">
        <v>46217</v>
      </c>
      <c r="C531" s="14" t="s">
        <v>555</v>
      </c>
      <c r="D531" s="14" t="s">
        <v>556</v>
      </c>
      <c r="E531" s="14" t="s">
        <v>145</v>
      </c>
      <c r="F531" s="14" t="s">
        <v>174</v>
      </c>
      <c r="G531" s="14" t="s">
        <v>134</v>
      </c>
      <c r="H531" s="14" t="s">
        <v>72</v>
      </c>
      <c r="I531" s="14" t="str">
        <f aca="false">IFERROR(INDEX(Calculations!$B$6:$B$27,MATCH(H531,Calculations!$A$6:$A$27,0)),"Unknown")</f>
        <v>Smart Home</v>
      </c>
      <c r="J531" s="14" t="n">
        <v>5</v>
      </c>
      <c r="K531" s="16" t="n">
        <v>4370.43</v>
      </c>
      <c r="L531" s="17" t="n">
        <v>0.1</v>
      </c>
      <c r="M531" s="18" t="n">
        <f aca="false">J531*K531*(1-L531)</f>
        <v>19666.935</v>
      </c>
      <c r="N531" s="18" t="n">
        <f aca="false">J531*IFERROR(INDEX(Calculations!$C$6:$C$27,MATCH(H531,Calculations!$A$6:$A$27,0)),0)</f>
        <v>13000</v>
      </c>
      <c r="O531" s="18" t="n">
        <f aca="false">M531-N531</f>
        <v>6666.935</v>
      </c>
      <c r="P531" s="18" t="n">
        <f aca="false">M531*IFERROR(INDEX(Calculations!$F$6:$F$11,MATCH(I531,Calculations!$E$6:$E$11,0)),0.1)</f>
        <v>2163.36285</v>
      </c>
      <c r="Q531" s="18" t="n">
        <f aca="false">O531-P531</f>
        <v>4503.57215</v>
      </c>
      <c r="R531" s="14" t="s">
        <v>165</v>
      </c>
      <c r="S531" s="14" t="s">
        <v>125</v>
      </c>
    </row>
    <row r="532" customFormat="false" ht="15" hidden="false" customHeight="false" outlineLevel="0" collapsed="false">
      <c r="A532" s="14" t="s">
        <v>1090</v>
      </c>
      <c r="B532" s="15" t="n">
        <v>46217</v>
      </c>
      <c r="C532" s="14" t="s">
        <v>341</v>
      </c>
      <c r="D532" s="14" t="s">
        <v>342</v>
      </c>
      <c r="E532" s="14" t="s">
        <v>139</v>
      </c>
      <c r="F532" s="14" t="s">
        <v>152</v>
      </c>
      <c r="G532" s="14" t="s">
        <v>141</v>
      </c>
      <c r="H532" s="14" t="s">
        <v>58</v>
      </c>
      <c r="I532" s="14" t="str">
        <f aca="false">IFERROR(INDEX(Calculations!$B$6:$B$27,MATCH(H532,Calculations!$A$6:$A$27,0)),"Unknown")</f>
        <v>Mobile Accessories</v>
      </c>
      <c r="J532" s="14" t="n">
        <v>4</v>
      </c>
      <c r="K532" s="16" t="n">
        <v>497.52</v>
      </c>
      <c r="L532" s="17" t="n">
        <v>0.05</v>
      </c>
      <c r="M532" s="18" t="n">
        <f aca="false">J532*K532*(1-L532)</f>
        <v>1890.576</v>
      </c>
      <c r="N532" s="18" t="n">
        <f aca="false">J532*IFERROR(INDEX(Calculations!$C$6:$C$27,MATCH(H532,Calculations!$A$6:$A$27,0)),0)</f>
        <v>880</v>
      </c>
      <c r="O532" s="18" t="n">
        <f aca="false">M532-N532</f>
        <v>1010.576</v>
      </c>
      <c r="P532" s="18" t="n">
        <f aca="false">M532*IFERROR(INDEX(Calculations!$F$6:$F$11,MATCH(I532,Calculations!$E$6:$E$11,0)),0.1)</f>
        <v>226.86912</v>
      </c>
      <c r="Q532" s="18" t="n">
        <f aca="false">O532-P532</f>
        <v>783.70688</v>
      </c>
      <c r="R532" s="14" t="s">
        <v>130</v>
      </c>
      <c r="S532" s="14" t="s">
        <v>125</v>
      </c>
    </row>
    <row r="533" customFormat="false" ht="15" hidden="false" customHeight="false" outlineLevel="0" collapsed="false">
      <c r="A533" s="14" t="s">
        <v>1091</v>
      </c>
      <c r="B533" s="15" t="n">
        <v>46218</v>
      </c>
      <c r="C533" s="14" t="s">
        <v>224</v>
      </c>
      <c r="D533" s="14" t="s">
        <v>225</v>
      </c>
      <c r="E533" s="14" t="s">
        <v>121</v>
      </c>
      <c r="F533" s="14" t="s">
        <v>122</v>
      </c>
      <c r="G533" s="14" t="s">
        <v>141</v>
      </c>
      <c r="H533" s="14" t="s">
        <v>70</v>
      </c>
      <c r="I533" s="14" t="str">
        <f aca="false">IFERROR(INDEX(Calculations!$B$6:$B$27,MATCH(H533,Calculations!$A$6:$A$27,0)),"Unknown")</f>
        <v>Smart Home</v>
      </c>
      <c r="J533" s="14" t="n">
        <v>1</v>
      </c>
      <c r="K533" s="16" t="n">
        <v>4104.27</v>
      </c>
      <c r="L533" s="17" t="n">
        <v>0.05</v>
      </c>
      <c r="M533" s="18" t="n">
        <f aca="false">J533*K533*(1-L533)</f>
        <v>3899.0565</v>
      </c>
      <c r="N533" s="18" t="n">
        <f aca="false">J533*IFERROR(INDEX(Calculations!$C$6:$C$27,MATCH(H533,Calculations!$A$6:$A$27,0)),0)</f>
        <v>2200</v>
      </c>
      <c r="O533" s="18" t="n">
        <f aca="false">M533-N533</f>
        <v>1699.0565</v>
      </c>
      <c r="P533" s="18" t="n">
        <f aca="false">M533*IFERROR(INDEX(Calculations!$F$6:$F$11,MATCH(I533,Calculations!$E$6:$E$11,0)),0.1)</f>
        <v>428.896215</v>
      </c>
      <c r="Q533" s="18" t="n">
        <f aca="false">O533-P533</f>
        <v>1270.160285</v>
      </c>
      <c r="R533" s="14" t="s">
        <v>135</v>
      </c>
      <c r="S533" s="14" t="s">
        <v>125</v>
      </c>
    </row>
    <row r="534" customFormat="false" ht="15" hidden="false" customHeight="false" outlineLevel="0" collapsed="false">
      <c r="A534" s="14" t="s">
        <v>1092</v>
      </c>
      <c r="B534" s="15" t="n">
        <v>46218</v>
      </c>
      <c r="C534" s="14" t="s">
        <v>1056</v>
      </c>
      <c r="D534" s="14" t="s">
        <v>1057</v>
      </c>
      <c r="E534" s="14" t="s">
        <v>145</v>
      </c>
      <c r="F534" s="14" t="s">
        <v>146</v>
      </c>
      <c r="G534" s="14" t="s">
        <v>170</v>
      </c>
      <c r="H534" s="14" t="s">
        <v>70</v>
      </c>
      <c r="I534" s="14" t="str">
        <f aca="false">IFERROR(INDEX(Calculations!$B$6:$B$27,MATCH(H534,Calculations!$A$6:$A$27,0)),"Unknown")</f>
        <v>Smart Home</v>
      </c>
      <c r="J534" s="14" t="n">
        <v>4</v>
      </c>
      <c r="K534" s="16" t="n">
        <v>4114.82</v>
      </c>
      <c r="L534" s="17" t="n">
        <v>0.05</v>
      </c>
      <c r="M534" s="18" t="n">
        <f aca="false">J534*K534*(1-L534)</f>
        <v>15636.316</v>
      </c>
      <c r="N534" s="18" t="n">
        <f aca="false">J534*IFERROR(INDEX(Calculations!$C$6:$C$27,MATCH(H534,Calculations!$A$6:$A$27,0)),0)</f>
        <v>8800</v>
      </c>
      <c r="O534" s="18" t="n">
        <f aca="false">M534-N534</f>
        <v>6836.316</v>
      </c>
      <c r="P534" s="18" t="n">
        <f aca="false">M534*IFERROR(INDEX(Calculations!$F$6:$F$11,MATCH(I534,Calculations!$E$6:$E$11,0)),0.1)</f>
        <v>1719.99476</v>
      </c>
      <c r="Q534" s="18" t="n">
        <f aca="false">O534-P534</f>
        <v>5116.32124</v>
      </c>
      <c r="R534" s="14" t="s">
        <v>130</v>
      </c>
      <c r="S534" s="14" t="s">
        <v>125</v>
      </c>
    </row>
    <row r="535" customFormat="false" ht="15" hidden="false" customHeight="false" outlineLevel="0" collapsed="false">
      <c r="A535" s="14" t="s">
        <v>1093</v>
      </c>
      <c r="B535" s="15" t="n">
        <v>46219</v>
      </c>
      <c r="C535" s="14" t="s">
        <v>458</v>
      </c>
      <c r="D535" s="14" t="s">
        <v>459</v>
      </c>
      <c r="E535" s="14" t="s">
        <v>156</v>
      </c>
      <c r="F535" s="14" t="s">
        <v>157</v>
      </c>
      <c r="G535" s="14" t="s">
        <v>175</v>
      </c>
      <c r="H535" s="14" t="s">
        <v>60</v>
      </c>
      <c r="I535" s="14" t="str">
        <f aca="false">IFERROR(INDEX(Calculations!$B$6:$B$27,MATCH(H535,Calculations!$A$6:$A$27,0)),"Unknown")</f>
        <v>Mobile Accessories</v>
      </c>
      <c r="J535" s="14" t="n">
        <v>5</v>
      </c>
      <c r="K535" s="16" t="n">
        <v>248.24</v>
      </c>
      <c r="L535" s="17" t="n">
        <v>0.1</v>
      </c>
      <c r="M535" s="18" t="n">
        <f aca="false">J535*K535*(1-L535)</f>
        <v>1117.08</v>
      </c>
      <c r="N535" s="18" t="n">
        <f aca="false">J535*IFERROR(INDEX(Calculations!$C$6:$C$27,MATCH(H535,Calculations!$A$6:$A$27,0)),0)</f>
        <v>450</v>
      </c>
      <c r="O535" s="18" t="n">
        <f aca="false">M535-N535</f>
        <v>667.08</v>
      </c>
      <c r="P535" s="18" t="n">
        <f aca="false">M535*IFERROR(INDEX(Calculations!$F$6:$F$11,MATCH(I535,Calculations!$E$6:$E$11,0)),0.1)</f>
        <v>134.0496</v>
      </c>
      <c r="Q535" s="18" t="n">
        <f aca="false">O535-P535</f>
        <v>533.0304</v>
      </c>
      <c r="R535" s="14" t="s">
        <v>124</v>
      </c>
      <c r="S535" s="14" t="s">
        <v>125</v>
      </c>
    </row>
    <row r="536" customFormat="false" ht="15" hidden="false" customHeight="false" outlineLevel="0" collapsed="false">
      <c r="A536" s="14" t="s">
        <v>1094</v>
      </c>
      <c r="B536" s="15" t="n">
        <v>46220</v>
      </c>
      <c r="C536" s="14" t="s">
        <v>137</v>
      </c>
      <c r="D536" s="14" t="s">
        <v>138</v>
      </c>
      <c r="E536" s="14" t="s">
        <v>139</v>
      </c>
      <c r="F536" s="14" t="s">
        <v>140</v>
      </c>
      <c r="G536" s="14" t="s">
        <v>141</v>
      </c>
      <c r="H536" s="14" t="s">
        <v>76</v>
      </c>
      <c r="I536" s="14" t="str">
        <f aca="false">IFERROR(INDEX(Calculations!$B$6:$B$27,MATCH(H536,Calculations!$A$6:$A$27,0)),"Unknown")</f>
        <v>Cameras</v>
      </c>
      <c r="J536" s="14" t="n">
        <v>1</v>
      </c>
      <c r="K536" s="16" t="n">
        <v>7691.93</v>
      </c>
      <c r="L536" s="17" t="n">
        <v>0.2</v>
      </c>
      <c r="M536" s="18" t="n">
        <f aca="false">J536*K536*(1-L536)</f>
        <v>6153.544</v>
      </c>
      <c r="N536" s="18" t="n">
        <f aca="false">J536*IFERROR(INDEX(Calculations!$C$6:$C$27,MATCH(H536,Calculations!$A$6:$A$27,0)),0)</f>
        <v>4200</v>
      </c>
      <c r="O536" s="18" t="n">
        <f aca="false">M536-N536</f>
        <v>1953.544</v>
      </c>
      <c r="P536" s="18" t="n">
        <f aca="false">M536*IFERROR(INDEX(Calculations!$F$6:$F$11,MATCH(I536,Calculations!$E$6:$E$11,0)),0.1)</f>
        <v>461.5158</v>
      </c>
      <c r="Q536" s="18" t="n">
        <f aca="false">O536-P536</f>
        <v>1492.0282</v>
      </c>
      <c r="R536" s="14" t="s">
        <v>135</v>
      </c>
      <c r="S536" s="14" t="s">
        <v>125</v>
      </c>
    </row>
    <row r="537" customFormat="false" ht="15" hidden="false" customHeight="false" outlineLevel="0" collapsed="false">
      <c r="A537" s="14" t="s">
        <v>1095</v>
      </c>
      <c r="B537" s="15" t="n">
        <v>46220</v>
      </c>
      <c r="C537" s="14" t="s">
        <v>642</v>
      </c>
      <c r="D537" s="14" t="s">
        <v>643</v>
      </c>
      <c r="E537" s="14" t="s">
        <v>194</v>
      </c>
      <c r="F537" s="14" t="s">
        <v>195</v>
      </c>
      <c r="G537" s="14" t="s">
        <v>134</v>
      </c>
      <c r="H537" s="14" t="s">
        <v>75</v>
      </c>
      <c r="I537" s="14" t="str">
        <f aca="false">IFERROR(INDEX(Calculations!$B$6:$B$27,MATCH(H537,Calculations!$A$6:$A$27,0)),"Unknown")</f>
        <v>Wearables</v>
      </c>
      <c r="J537" s="14" t="n">
        <v>3</v>
      </c>
      <c r="K537" s="16" t="n">
        <v>3204.09</v>
      </c>
      <c r="L537" s="17" t="n">
        <v>0</v>
      </c>
      <c r="M537" s="18" t="n">
        <f aca="false">J537*K537*(1-L537)</f>
        <v>9612.27</v>
      </c>
      <c r="N537" s="18" t="n">
        <f aca="false">J537*IFERROR(INDEX(Calculations!$C$6:$C$27,MATCH(H537,Calculations!$A$6:$A$27,0)),0)</f>
        <v>5700</v>
      </c>
      <c r="O537" s="18" t="n">
        <f aca="false">M537-N537</f>
        <v>3912.27</v>
      </c>
      <c r="P537" s="18" t="n">
        <f aca="false">M537*IFERROR(INDEX(Calculations!$F$6:$F$11,MATCH(I537,Calculations!$E$6:$E$11,0)),0.1)</f>
        <v>865.1043</v>
      </c>
      <c r="Q537" s="18" t="n">
        <f aca="false">O537-P537</f>
        <v>3047.1657</v>
      </c>
      <c r="R537" s="14" t="s">
        <v>135</v>
      </c>
      <c r="S537" s="14" t="s">
        <v>125</v>
      </c>
    </row>
    <row r="538" customFormat="false" ht="15" hidden="false" customHeight="false" outlineLevel="0" collapsed="false">
      <c r="A538" s="14" t="s">
        <v>1096</v>
      </c>
      <c r="B538" s="15" t="n">
        <v>46221</v>
      </c>
      <c r="C538" s="14" t="s">
        <v>778</v>
      </c>
      <c r="D538" s="14" t="s">
        <v>779</v>
      </c>
      <c r="E538" s="14" t="s">
        <v>194</v>
      </c>
      <c r="F538" s="14" t="s">
        <v>195</v>
      </c>
      <c r="G538" s="14" t="s">
        <v>147</v>
      </c>
      <c r="H538" s="14" t="s">
        <v>74</v>
      </c>
      <c r="I538" s="14" t="str">
        <f aca="false">IFERROR(INDEX(Calculations!$B$6:$B$27,MATCH(H538,Calculations!$A$6:$A$27,0)),"Unknown")</f>
        <v>Wearables</v>
      </c>
      <c r="J538" s="14" t="n">
        <v>4</v>
      </c>
      <c r="K538" s="16" t="n">
        <v>6613.81</v>
      </c>
      <c r="L538" s="17" t="n">
        <v>0.15</v>
      </c>
      <c r="M538" s="18" t="n">
        <f aca="false">J538*K538*(1-L538)</f>
        <v>22486.954</v>
      </c>
      <c r="N538" s="18" t="n">
        <f aca="false">J538*IFERROR(INDEX(Calculations!$C$6:$C$27,MATCH(H538,Calculations!$A$6:$A$27,0)),0)</f>
        <v>15200</v>
      </c>
      <c r="O538" s="18" t="n">
        <f aca="false">M538-N538</f>
        <v>7286.954</v>
      </c>
      <c r="P538" s="18" t="n">
        <f aca="false">M538*IFERROR(INDEX(Calculations!$F$6:$F$11,MATCH(I538,Calculations!$E$6:$E$11,0)),0.1)</f>
        <v>2023.82586</v>
      </c>
      <c r="Q538" s="18" t="n">
        <f aca="false">O538-P538</f>
        <v>5263.12814</v>
      </c>
      <c r="R538" s="14" t="s">
        <v>124</v>
      </c>
      <c r="S538" s="14" t="s">
        <v>210</v>
      </c>
    </row>
    <row r="539" customFormat="false" ht="15" hidden="false" customHeight="false" outlineLevel="0" collapsed="false">
      <c r="A539" s="14" t="s">
        <v>1097</v>
      </c>
      <c r="B539" s="15" t="n">
        <v>46221</v>
      </c>
      <c r="C539" s="14" t="s">
        <v>899</v>
      </c>
      <c r="D539" s="14" t="s">
        <v>900</v>
      </c>
      <c r="E539" s="14" t="s">
        <v>139</v>
      </c>
      <c r="F539" s="14" t="s">
        <v>152</v>
      </c>
      <c r="G539" s="14" t="s">
        <v>209</v>
      </c>
      <c r="H539" s="14" t="s">
        <v>52</v>
      </c>
      <c r="I539" s="14" t="str">
        <f aca="false">IFERROR(INDEX(Calculations!$B$6:$B$27,MATCH(H539,Calculations!$A$6:$A$27,0)),"Unknown")</f>
        <v>Audio</v>
      </c>
      <c r="J539" s="14" t="n">
        <v>1</v>
      </c>
      <c r="K539" s="16" t="n">
        <v>1958.13</v>
      </c>
      <c r="L539" s="17" t="n">
        <v>0</v>
      </c>
      <c r="M539" s="18" t="n">
        <f aca="false">J539*K539*(1-L539)</f>
        <v>1958.13</v>
      </c>
      <c r="N539" s="18" t="n">
        <f aca="false">J539*IFERROR(INDEX(Calculations!$C$6:$C$27,MATCH(H539,Calculations!$A$6:$A$27,0)),0)</f>
        <v>900</v>
      </c>
      <c r="O539" s="18" t="n">
        <f aca="false">M539-N539</f>
        <v>1058.13</v>
      </c>
      <c r="P539" s="18" t="n">
        <f aca="false">M539*IFERROR(INDEX(Calculations!$F$6:$F$11,MATCH(I539,Calculations!$E$6:$E$11,0)),0.1)</f>
        <v>195.813</v>
      </c>
      <c r="Q539" s="18" t="n">
        <f aca="false">O539-P539</f>
        <v>862.317</v>
      </c>
      <c r="R539" s="14" t="s">
        <v>165</v>
      </c>
      <c r="S539" s="14" t="s">
        <v>125</v>
      </c>
    </row>
    <row r="540" customFormat="false" ht="15" hidden="false" customHeight="false" outlineLevel="0" collapsed="false">
      <c r="A540" s="14" t="s">
        <v>1098</v>
      </c>
      <c r="B540" s="15" t="n">
        <v>46222</v>
      </c>
      <c r="C540" s="14" t="s">
        <v>576</v>
      </c>
      <c r="D540" s="14" t="s">
        <v>577</v>
      </c>
      <c r="E540" s="14" t="s">
        <v>145</v>
      </c>
      <c r="F540" s="14" t="s">
        <v>146</v>
      </c>
      <c r="G540" s="14" t="s">
        <v>209</v>
      </c>
      <c r="H540" s="14" t="s">
        <v>58</v>
      </c>
      <c r="I540" s="14" t="str">
        <f aca="false">IFERROR(INDEX(Calculations!$B$6:$B$27,MATCH(H540,Calculations!$A$6:$A$27,0)),"Unknown")</f>
        <v>Mobile Accessories</v>
      </c>
      <c r="J540" s="14" t="n">
        <v>2</v>
      </c>
      <c r="K540" s="16" t="n">
        <v>517.93</v>
      </c>
      <c r="L540" s="17" t="n">
        <v>0</v>
      </c>
      <c r="M540" s="18" t="n">
        <f aca="false">J540*K540*(1-L540)</f>
        <v>1035.86</v>
      </c>
      <c r="N540" s="18" t="n">
        <f aca="false">J540*IFERROR(INDEX(Calculations!$C$6:$C$27,MATCH(H540,Calculations!$A$6:$A$27,0)),0)</f>
        <v>440</v>
      </c>
      <c r="O540" s="18" t="n">
        <f aca="false">M540-N540</f>
        <v>595.86</v>
      </c>
      <c r="P540" s="18" t="n">
        <f aca="false">M540*IFERROR(INDEX(Calculations!$F$6:$F$11,MATCH(I540,Calculations!$E$6:$E$11,0)),0.1)</f>
        <v>124.3032</v>
      </c>
      <c r="Q540" s="18" t="n">
        <f aca="false">O540-P540</f>
        <v>471.5568</v>
      </c>
      <c r="R540" s="14" t="s">
        <v>124</v>
      </c>
      <c r="S540" s="14" t="s">
        <v>210</v>
      </c>
    </row>
    <row r="541" customFormat="false" ht="15" hidden="false" customHeight="false" outlineLevel="0" collapsed="false">
      <c r="A541" s="14" t="s">
        <v>1099</v>
      </c>
      <c r="B541" s="15" t="n">
        <v>46222</v>
      </c>
      <c r="C541" s="14" t="s">
        <v>1004</v>
      </c>
      <c r="D541" s="14" t="s">
        <v>1005</v>
      </c>
      <c r="E541" s="14" t="s">
        <v>194</v>
      </c>
      <c r="F541" s="14" t="s">
        <v>195</v>
      </c>
      <c r="G541" s="14" t="s">
        <v>141</v>
      </c>
      <c r="H541" s="14" t="s">
        <v>74</v>
      </c>
      <c r="I541" s="14" t="str">
        <f aca="false">IFERROR(INDEX(Calculations!$B$6:$B$27,MATCH(H541,Calculations!$A$6:$A$27,0)),"Unknown")</f>
        <v>Wearables</v>
      </c>
      <c r="J541" s="14" t="n">
        <v>4</v>
      </c>
      <c r="K541" s="16" t="n">
        <v>6556.33</v>
      </c>
      <c r="L541" s="17" t="n">
        <v>0.05</v>
      </c>
      <c r="M541" s="18" t="n">
        <f aca="false">J541*K541*(1-L541)</f>
        <v>24914.054</v>
      </c>
      <c r="N541" s="18" t="n">
        <f aca="false">J541*IFERROR(INDEX(Calculations!$C$6:$C$27,MATCH(H541,Calculations!$A$6:$A$27,0)),0)</f>
        <v>15200</v>
      </c>
      <c r="O541" s="18" t="n">
        <f aca="false">M541-N541</f>
        <v>9714.054</v>
      </c>
      <c r="P541" s="18" t="n">
        <f aca="false">M541*IFERROR(INDEX(Calculations!$F$6:$F$11,MATCH(I541,Calculations!$E$6:$E$11,0)),0.1)</f>
        <v>2242.26486</v>
      </c>
      <c r="Q541" s="18" t="n">
        <f aca="false">O541-P541</f>
        <v>7471.78914</v>
      </c>
      <c r="R541" s="14" t="s">
        <v>135</v>
      </c>
      <c r="S541" s="14" t="s">
        <v>210</v>
      </c>
    </row>
    <row r="542" customFormat="false" ht="15" hidden="false" customHeight="false" outlineLevel="0" collapsed="false">
      <c r="A542" s="14" t="s">
        <v>1100</v>
      </c>
      <c r="B542" s="15" t="n">
        <v>46222</v>
      </c>
      <c r="C542" s="14" t="s">
        <v>257</v>
      </c>
      <c r="D542" s="14" t="s">
        <v>258</v>
      </c>
      <c r="E542" s="14" t="s">
        <v>194</v>
      </c>
      <c r="F542" s="14" t="s">
        <v>259</v>
      </c>
      <c r="G542" s="14" t="s">
        <v>209</v>
      </c>
      <c r="H542" s="14" t="s">
        <v>64</v>
      </c>
      <c r="I542" s="14" t="str">
        <f aca="false">IFERROR(INDEX(Calculations!$B$6:$B$27,MATCH(H542,Calculations!$A$6:$A$27,0)),"Unknown")</f>
        <v>Computer Peripherals</v>
      </c>
      <c r="J542" s="14" t="n">
        <v>1</v>
      </c>
      <c r="K542" s="16" t="n">
        <v>791.75</v>
      </c>
      <c r="L542" s="17" t="n">
        <v>0</v>
      </c>
      <c r="M542" s="18" t="n">
        <f aca="false">J542*K542*(1-L542)</f>
        <v>791.75</v>
      </c>
      <c r="N542" s="18" t="n">
        <f aca="false">J542*IFERROR(INDEX(Calculations!$C$6:$C$27,MATCH(H542,Calculations!$A$6:$A$27,0)),0)</f>
        <v>350</v>
      </c>
      <c r="O542" s="18" t="n">
        <f aca="false">M542-N542</f>
        <v>441.75</v>
      </c>
      <c r="P542" s="18" t="n">
        <f aca="false">M542*IFERROR(INDEX(Calculations!$F$6:$F$11,MATCH(I542,Calculations!$E$6:$E$11,0)),0.1)</f>
        <v>63.34</v>
      </c>
      <c r="Q542" s="18" t="n">
        <f aca="false">O542-P542</f>
        <v>378.41</v>
      </c>
      <c r="R542" s="14" t="s">
        <v>135</v>
      </c>
      <c r="S542" s="14" t="s">
        <v>148</v>
      </c>
    </row>
    <row r="543" customFormat="false" ht="15" hidden="false" customHeight="false" outlineLevel="0" collapsed="false">
      <c r="A543" s="14" t="s">
        <v>1101</v>
      </c>
      <c r="B543" s="15" t="n">
        <v>46222</v>
      </c>
      <c r="C543" s="14" t="s">
        <v>712</v>
      </c>
      <c r="D543" s="14" t="s">
        <v>713</v>
      </c>
      <c r="E543" s="14" t="s">
        <v>145</v>
      </c>
      <c r="F543" s="14" t="s">
        <v>146</v>
      </c>
      <c r="G543" s="14" t="s">
        <v>134</v>
      </c>
      <c r="H543" s="14" t="s">
        <v>71</v>
      </c>
      <c r="I543" s="14" t="str">
        <f aca="false">IFERROR(INDEX(Calculations!$B$6:$B$27,MATCH(H543,Calculations!$A$6:$A$27,0)),"Unknown")</f>
        <v>Smart Home</v>
      </c>
      <c r="J543" s="14" t="n">
        <v>2</v>
      </c>
      <c r="K543" s="16" t="n">
        <v>869.48</v>
      </c>
      <c r="L543" s="17" t="n">
        <v>0</v>
      </c>
      <c r="M543" s="18" t="n">
        <f aca="false">J543*K543*(1-L543)</f>
        <v>1738.96</v>
      </c>
      <c r="N543" s="18" t="n">
        <f aca="false">J543*IFERROR(INDEX(Calculations!$C$6:$C$27,MATCH(H543,Calculations!$A$6:$A$27,0)),0)</f>
        <v>900</v>
      </c>
      <c r="O543" s="18" t="n">
        <f aca="false">M543-N543</f>
        <v>838.96</v>
      </c>
      <c r="P543" s="18" t="n">
        <f aca="false">M543*IFERROR(INDEX(Calculations!$F$6:$F$11,MATCH(I543,Calculations!$E$6:$E$11,0)),0.1)</f>
        <v>191.2856</v>
      </c>
      <c r="Q543" s="18" t="n">
        <f aca="false">O543-P543</f>
        <v>647.6744</v>
      </c>
      <c r="R543" s="14" t="s">
        <v>130</v>
      </c>
      <c r="S543" s="14" t="s">
        <v>125</v>
      </c>
    </row>
    <row r="544" customFormat="false" ht="15" hidden="false" customHeight="false" outlineLevel="0" collapsed="false">
      <c r="A544" s="14" t="s">
        <v>1102</v>
      </c>
      <c r="B544" s="15" t="n">
        <v>46223</v>
      </c>
      <c r="C544" s="14" t="s">
        <v>1103</v>
      </c>
      <c r="D544" s="14" t="s">
        <v>1104</v>
      </c>
      <c r="E544" s="14" t="s">
        <v>145</v>
      </c>
      <c r="F544" s="14" t="s">
        <v>174</v>
      </c>
      <c r="G544" s="14" t="s">
        <v>161</v>
      </c>
      <c r="H544" s="14" t="s">
        <v>69</v>
      </c>
      <c r="I544" s="14" t="str">
        <f aca="false">IFERROR(INDEX(Calculations!$B$6:$B$27,MATCH(H544,Calculations!$A$6:$A$27,0)),"Unknown")</f>
        <v>Smart Home</v>
      </c>
      <c r="J544" s="14" t="n">
        <v>2</v>
      </c>
      <c r="K544" s="16" t="n">
        <v>786.35</v>
      </c>
      <c r="L544" s="17" t="n">
        <v>0.2</v>
      </c>
      <c r="M544" s="18" t="n">
        <f aca="false">J544*K544*(1-L544)</f>
        <v>1258.16</v>
      </c>
      <c r="N544" s="18" t="n">
        <f aca="false">J544*IFERROR(INDEX(Calculations!$C$6:$C$27,MATCH(H544,Calculations!$A$6:$A$27,0)),0)</f>
        <v>700</v>
      </c>
      <c r="O544" s="18" t="n">
        <f aca="false">M544-N544</f>
        <v>558.16</v>
      </c>
      <c r="P544" s="18" t="n">
        <f aca="false">M544*IFERROR(INDEX(Calculations!$F$6:$F$11,MATCH(I544,Calculations!$E$6:$E$11,0)),0.1)</f>
        <v>138.3976</v>
      </c>
      <c r="Q544" s="18" t="n">
        <f aca="false">O544-P544</f>
        <v>419.7624</v>
      </c>
      <c r="R544" s="14" t="s">
        <v>243</v>
      </c>
      <c r="S544" s="14" t="s">
        <v>125</v>
      </c>
    </row>
    <row r="545" customFormat="false" ht="15" hidden="false" customHeight="false" outlineLevel="0" collapsed="false">
      <c r="A545" s="14" t="s">
        <v>1105</v>
      </c>
      <c r="B545" s="15" t="n">
        <v>46225</v>
      </c>
      <c r="C545" s="14" t="s">
        <v>495</v>
      </c>
      <c r="D545" s="14" t="s">
        <v>496</v>
      </c>
      <c r="E545" s="14" t="s">
        <v>145</v>
      </c>
      <c r="F545" s="14" t="s">
        <v>174</v>
      </c>
      <c r="G545" s="14" t="s">
        <v>141</v>
      </c>
      <c r="H545" s="14" t="s">
        <v>73</v>
      </c>
      <c r="I545" s="14" t="str">
        <f aca="false">IFERROR(INDEX(Calculations!$B$6:$B$27,MATCH(H545,Calculations!$A$6:$A$27,0)),"Unknown")</f>
        <v>Wearables</v>
      </c>
      <c r="J545" s="14" t="n">
        <v>1</v>
      </c>
      <c r="K545" s="16" t="n">
        <v>2013.22</v>
      </c>
      <c r="L545" s="17" t="n">
        <v>0</v>
      </c>
      <c r="M545" s="18" t="n">
        <f aca="false">J545*K545*(1-L545)</f>
        <v>2013.22</v>
      </c>
      <c r="N545" s="18" t="n">
        <f aca="false">J545*IFERROR(INDEX(Calculations!$C$6:$C$27,MATCH(H545,Calculations!$A$6:$A$27,0)),0)</f>
        <v>1100</v>
      </c>
      <c r="O545" s="18" t="n">
        <f aca="false">M545-N545</f>
        <v>913.22</v>
      </c>
      <c r="P545" s="18" t="n">
        <f aca="false">M545*IFERROR(INDEX(Calculations!$F$6:$F$11,MATCH(I545,Calculations!$E$6:$E$11,0)),0.1)</f>
        <v>181.1898</v>
      </c>
      <c r="Q545" s="18" t="n">
        <f aca="false">O545-P545</f>
        <v>732.0302</v>
      </c>
      <c r="R545" s="14" t="s">
        <v>130</v>
      </c>
      <c r="S545" s="14" t="s">
        <v>125</v>
      </c>
    </row>
    <row r="546" customFormat="false" ht="15" hidden="false" customHeight="false" outlineLevel="0" collapsed="false">
      <c r="A546" s="14" t="s">
        <v>1106</v>
      </c>
      <c r="B546" s="15" t="n">
        <v>46226</v>
      </c>
      <c r="C546" s="14" t="s">
        <v>528</v>
      </c>
      <c r="D546" s="14" t="s">
        <v>529</v>
      </c>
      <c r="E546" s="14" t="s">
        <v>145</v>
      </c>
      <c r="F546" s="14" t="s">
        <v>146</v>
      </c>
      <c r="G546" s="14" t="s">
        <v>134</v>
      </c>
      <c r="H546" s="14" t="s">
        <v>71</v>
      </c>
      <c r="I546" s="14" t="str">
        <f aca="false">IFERROR(INDEX(Calculations!$B$6:$B$27,MATCH(H546,Calculations!$A$6:$A$27,0)),"Unknown")</f>
        <v>Smart Home</v>
      </c>
      <c r="J546" s="14" t="n">
        <v>3</v>
      </c>
      <c r="K546" s="16" t="n">
        <v>896.78</v>
      </c>
      <c r="L546" s="17" t="n">
        <v>0.1</v>
      </c>
      <c r="M546" s="18" t="n">
        <f aca="false">J546*K546*(1-L546)</f>
        <v>2421.306</v>
      </c>
      <c r="N546" s="18" t="n">
        <f aca="false">J546*IFERROR(INDEX(Calculations!$C$6:$C$27,MATCH(H546,Calculations!$A$6:$A$27,0)),0)</f>
        <v>1350</v>
      </c>
      <c r="O546" s="18" t="n">
        <f aca="false">M546-N546</f>
        <v>1071.306</v>
      </c>
      <c r="P546" s="18" t="n">
        <f aca="false">M546*IFERROR(INDEX(Calculations!$F$6:$F$11,MATCH(I546,Calculations!$E$6:$E$11,0)),0.1)</f>
        <v>266.34366</v>
      </c>
      <c r="Q546" s="18" t="n">
        <f aca="false">O546-P546</f>
        <v>804.96234</v>
      </c>
      <c r="R546" s="14" t="s">
        <v>243</v>
      </c>
      <c r="S546" s="14" t="s">
        <v>125</v>
      </c>
    </row>
    <row r="547" customFormat="false" ht="15" hidden="false" customHeight="false" outlineLevel="0" collapsed="false">
      <c r="A547" s="14" t="s">
        <v>1107</v>
      </c>
      <c r="B547" s="15" t="n">
        <v>46226</v>
      </c>
      <c r="C547" s="14" t="s">
        <v>248</v>
      </c>
      <c r="D547" s="14" t="s">
        <v>249</v>
      </c>
      <c r="E547" s="14" t="s">
        <v>139</v>
      </c>
      <c r="F547" s="14" t="s">
        <v>140</v>
      </c>
      <c r="G547" s="14" t="s">
        <v>147</v>
      </c>
      <c r="H547" s="14" t="s">
        <v>63</v>
      </c>
      <c r="I547" s="14" t="str">
        <f aca="false">IFERROR(INDEX(Calculations!$B$6:$B$27,MATCH(H547,Calculations!$A$6:$A$27,0)),"Unknown")</f>
        <v>Mobile Accessories</v>
      </c>
      <c r="J547" s="14" t="n">
        <v>1</v>
      </c>
      <c r="K547" s="16" t="n">
        <v>358.16</v>
      </c>
      <c r="L547" s="17" t="n">
        <v>0</v>
      </c>
      <c r="M547" s="18" t="n">
        <f aca="false">J547*K547*(1-L547)</f>
        <v>358.16</v>
      </c>
      <c r="N547" s="18" t="n">
        <f aca="false">J547*IFERROR(INDEX(Calculations!$C$6:$C$27,MATCH(H547,Calculations!$A$6:$A$27,0)),0)</f>
        <v>150</v>
      </c>
      <c r="O547" s="18" t="n">
        <f aca="false">M547-N547</f>
        <v>208.16</v>
      </c>
      <c r="P547" s="18" t="n">
        <f aca="false">M547*IFERROR(INDEX(Calculations!$F$6:$F$11,MATCH(I547,Calculations!$E$6:$E$11,0)),0.1)</f>
        <v>42.9792</v>
      </c>
      <c r="Q547" s="18" t="n">
        <f aca="false">O547-P547</f>
        <v>165.1808</v>
      </c>
      <c r="R547" s="14" t="s">
        <v>243</v>
      </c>
      <c r="S547" s="14" t="s">
        <v>125</v>
      </c>
    </row>
    <row r="548" customFormat="false" ht="15" hidden="false" customHeight="false" outlineLevel="0" collapsed="false">
      <c r="A548" s="14" t="s">
        <v>1108</v>
      </c>
      <c r="B548" s="15" t="n">
        <v>46226</v>
      </c>
      <c r="C548" s="14" t="s">
        <v>1109</v>
      </c>
      <c r="D548" s="14" t="s">
        <v>1110</v>
      </c>
      <c r="E548" s="14" t="s">
        <v>121</v>
      </c>
      <c r="F548" s="14" t="s">
        <v>129</v>
      </c>
      <c r="G548" s="14" t="s">
        <v>209</v>
      </c>
      <c r="H548" s="14" t="s">
        <v>71</v>
      </c>
      <c r="I548" s="14" t="str">
        <f aca="false">IFERROR(INDEX(Calculations!$B$6:$B$27,MATCH(H548,Calculations!$A$6:$A$27,0)),"Unknown")</f>
        <v>Smart Home</v>
      </c>
      <c r="J548" s="14" t="n">
        <v>6</v>
      </c>
      <c r="K548" s="16" t="n">
        <v>879.43</v>
      </c>
      <c r="L548" s="17" t="n">
        <v>0.05</v>
      </c>
      <c r="M548" s="18" t="n">
        <f aca="false">J548*K548*(1-L548)</f>
        <v>5012.751</v>
      </c>
      <c r="N548" s="18" t="n">
        <f aca="false">J548*IFERROR(INDEX(Calculations!$C$6:$C$27,MATCH(H548,Calculations!$A$6:$A$27,0)),0)</f>
        <v>2700</v>
      </c>
      <c r="O548" s="18" t="n">
        <f aca="false">M548-N548</f>
        <v>2312.751</v>
      </c>
      <c r="P548" s="18" t="n">
        <f aca="false">M548*IFERROR(INDEX(Calculations!$F$6:$F$11,MATCH(I548,Calculations!$E$6:$E$11,0)),0.1)</f>
        <v>551.40261</v>
      </c>
      <c r="Q548" s="18" t="n">
        <f aca="false">O548-P548</f>
        <v>1761.34839</v>
      </c>
      <c r="R548" s="14" t="s">
        <v>165</v>
      </c>
      <c r="S548" s="14" t="s">
        <v>125</v>
      </c>
    </row>
    <row r="549" customFormat="false" ht="15" hidden="false" customHeight="false" outlineLevel="0" collapsed="false">
      <c r="A549" s="14" t="s">
        <v>1111</v>
      </c>
      <c r="B549" s="15" t="n">
        <v>46226</v>
      </c>
      <c r="C549" s="14" t="s">
        <v>290</v>
      </c>
      <c r="D549" s="14" t="s">
        <v>291</v>
      </c>
      <c r="E549" s="14" t="s">
        <v>145</v>
      </c>
      <c r="F549" s="14" t="s">
        <v>146</v>
      </c>
      <c r="G549" s="14" t="s">
        <v>147</v>
      </c>
      <c r="H549" s="14" t="s">
        <v>62</v>
      </c>
      <c r="I549" s="14" t="str">
        <f aca="false">IFERROR(INDEX(Calculations!$B$6:$B$27,MATCH(H549,Calculations!$A$6:$A$27,0)),"Unknown")</f>
        <v>Mobile Accessories</v>
      </c>
      <c r="J549" s="14" t="n">
        <v>2</v>
      </c>
      <c r="K549" s="16" t="n">
        <v>338.09</v>
      </c>
      <c r="L549" s="17" t="n">
        <v>0.1</v>
      </c>
      <c r="M549" s="18" t="n">
        <f aca="false">J549*K549*(1-L549)</f>
        <v>608.562</v>
      </c>
      <c r="N549" s="18" t="n">
        <f aca="false">J549*IFERROR(INDEX(Calculations!$C$6:$C$27,MATCH(H549,Calculations!$A$6:$A$27,0)),0)</f>
        <v>260</v>
      </c>
      <c r="O549" s="18" t="n">
        <f aca="false">M549-N549</f>
        <v>348.562</v>
      </c>
      <c r="P549" s="18" t="n">
        <f aca="false">M549*IFERROR(INDEX(Calculations!$F$6:$F$11,MATCH(I549,Calculations!$E$6:$E$11,0)),0.1)</f>
        <v>73.02744</v>
      </c>
      <c r="Q549" s="18" t="n">
        <f aca="false">O549-P549</f>
        <v>275.53456</v>
      </c>
      <c r="R549" s="14" t="s">
        <v>135</v>
      </c>
      <c r="S549" s="14" t="s">
        <v>148</v>
      </c>
    </row>
    <row r="550" customFormat="false" ht="15" hidden="false" customHeight="false" outlineLevel="0" collapsed="false">
      <c r="A550" s="14" t="s">
        <v>1112</v>
      </c>
      <c r="B550" s="15" t="n">
        <v>46229</v>
      </c>
      <c r="C550" s="14" t="s">
        <v>267</v>
      </c>
      <c r="D550" s="14" t="s">
        <v>268</v>
      </c>
      <c r="E550" s="14" t="s">
        <v>194</v>
      </c>
      <c r="F550" s="14" t="s">
        <v>259</v>
      </c>
      <c r="G550" s="14" t="s">
        <v>209</v>
      </c>
      <c r="H550" s="14" t="s">
        <v>67</v>
      </c>
      <c r="I550" s="14" t="str">
        <f aca="false">IFERROR(INDEX(Calculations!$B$6:$B$27,MATCH(H550,Calculations!$A$6:$A$27,0)),"Unknown")</f>
        <v>Computer Peripherals</v>
      </c>
      <c r="J550" s="14" t="n">
        <v>1</v>
      </c>
      <c r="K550" s="16" t="n">
        <v>1762.77</v>
      </c>
      <c r="L550" s="17" t="n">
        <v>0.1</v>
      </c>
      <c r="M550" s="18" t="n">
        <f aca="false">J550*K550*(1-L550)</f>
        <v>1586.493</v>
      </c>
      <c r="N550" s="18" t="n">
        <f aca="false">J550*IFERROR(INDEX(Calculations!$C$6:$C$27,MATCH(H550,Calculations!$A$6:$A$27,0)),0)</f>
        <v>900</v>
      </c>
      <c r="O550" s="18" t="n">
        <f aca="false">M550-N550</f>
        <v>686.493</v>
      </c>
      <c r="P550" s="18" t="n">
        <f aca="false">M550*IFERROR(INDEX(Calculations!$F$6:$F$11,MATCH(I550,Calculations!$E$6:$E$11,0)),0.1)</f>
        <v>126.91944</v>
      </c>
      <c r="Q550" s="18" t="n">
        <f aca="false">O550-P550</f>
        <v>559.57356</v>
      </c>
      <c r="R550" s="14" t="s">
        <v>130</v>
      </c>
      <c r="S550" s="14" t="s">
        <v>125</v>
      </c>
    </row>
    <row r="551" customFormat="false" ht="15" hidden="false" customHeight="false" outlineLevel="0" collapsed="false">
      <c r="A551" s="14" t="s">
        <v>1113</v>
      </c>
      <c r="B551" s="15" t="n">
        <v>46229</v>
      </c>
      <c r="C551" s="14" t="s">
        <v>227</v>
      </c>
      <c r="D551" s="14" t="s">
        <v>228</v>
      </c>
      <c r="E551" s="14" t="s">
        <v>145</v>
      </c>
      <c r="F551" s="14" t="s">
        <v>146</v>
      </c>
      <c r="G551" s="14" t="s">
        <v>134</v>
      </c>
      <c r="H551" s="14" t="s">
        <v>58</v>
      </c>
      <c r="I551" s="14" t="str">
        <f aca="false">IFERROR(INDEX(Calculations!$B$6:$B$27,MATCH(H551,Calculations!$A$6:$A$27,0)),"Unknown")</f>
        <v>Mobile Accessories</v>
      </c>
      <c r="J551" s="14" t="n">
        <v>1</v>
      </c>
      <c r="K551" s="16" t="n">
        <v>507.44</v>
      </c>
      <c r="L551" s="17" t="n">
        <v>0.15</v>
      </c>
      <c r="M551" s="18" t="n">
        <f aca="false">J551*K551*(1-L551)</f>
        <v>431.324</v>
      </c>
      <c r="N551" s="18" t="n">
        <f aca="false">J551*IFERROR(INDEX(Calculations!$C$6:$C$27,MATCH(H551,Calculations!$A$6:$A$27,0)),0)</f>
        <v>220</v>
      </c>
      <c r="O551" s="18" t="n">
        <f aca="false">M551-N551</f>
        <v>211.324</v>
      </c>
      <c r="P551" s="18" t="n">
        <f aca="false">M551*IFERROR(INDEX(Calculations!$F$6:$F$11,MATCH(I551,Calculations!$E$6:$E$11,0)),0.1)</f>
        <v>51.75888</v>
      </c>
      <c r="Q551" s="18" t="n">
        <f aca="false">O551-P551</f>
        <v>159.56512</v>
      </c>
      <c r="R551" s="14" t="s">
        <v>165</v>
      </c>
      <c r="S551" s="14" t="s">
        <v>125</v>
      </c>
    </row>
    <row r="552" customFormat="false" ht="15" hidden="false" customHeight="false" outlineLevel="0" collapsed="false">
      <c r="A552" s="14" t="s">
        <v>1114</v>
      </c>
      <c r="B552" s="15" t="n">
        <v>46229</v>
      </c>
      <c r="C552" s="14" t="s">
        <v>544</v>
      </c>
      <c r="D552" s="14" t="s">
        <v>545</v>
      </c>
      <c r="E552" s="14" t="s">
        <v>121</v>
      </c>
      <c r="F552" s="14" t="s">
        <v>122</v>
      </c>
      <c r="G552" s="14" t="s">
        <v>123</v>
      </c>
      <c r="H552" s="14" t="s">
        <v>73</v>
      </c>
      <c r="I552" s="14" t="str">
        <f aca="false">IFERROR(INDEX(Calculations!$B$6:$B$27,MATCH(H552,Calculations!$A$6:$A$27,0)),"Unknown")</f>
        <v>Wearables</v>
      </c>
      <c r="J552" s="14" t="n">
        <v>3</v>
      </c>
      <c r="K552" s="16" t="n">
        <v>2069.32</v>
      </c>
      <c r="L552" s="17" t="n">
        <v>0.1</v>
      </c>
      <c r="M552" s="18" t="n">
        <f aca="false">J552*K552*(1-L552)</f>
        <v>5587.164</v>
      </c>
      <c r="N552" s="18" t="n">
        <f aca="false">J552*IFERROR(INDEX(Calculations!$C$6:$C$27,MATCH(H552,Calculations!$A$6:$A$27,0)),0)</f>
        <v>3300</v>
      </c>
      <c r="O552" s="18" t="n">
        <f aca="false">M552-N552</f>
        <v>2287.164</v>
      </c>
      <c r="P552" s="18" t="n">
        <f aca="false">M552*IFERROR(INDEX(Calculations!$F$6:$F$11,MATCH(I552,Calculations!$E$6:$E$11,0)),0.1)</f>
        <v>502.84476</v>
      </c>
      <c r="Q552" s="18" t="n">
        <f aca="false">O552-P552</f>
        <v>1784.31924</v>
      </c>
      <c r="R552" s="14" t="s">
        <v>130</v>
      </c>
      <c r="S552" s="14" t="s">
        <v>125</v>
      </c>
    </row>
    <row r="553" customFormat="false" ht="15" hidden="false" customHeight="false" outlineLevel="0" collapsed="false">
      <c r="A553" s="14" t="s">
        <v>1115</v>
      </c>
      <c r="B553" s="15" t="n">
        <v>46229</v>
      </c>
      <c r="C553" s="14" t="s">
        <v>749</v>
      </c>
      <c r="D553" s="14" t="s">
        <v>750</v>
      </c>
      <c r="E553" s="14" t="s">
        <v>194</v>
      </c>
      <c r="F553" s="14" t="s">
        <v>195</v>
      </c>
      <c r="G553" s="14" t="s">
        <v>123</v>
      </c>
      <c r="H553" s="14" t="s">
        <v>70</v>
      </c>
      <c r="I553" s="14" t="str">
        <f aca="false">IFERROR(INDEX(Calculations!$B$6:$B$27,MATCH(H553,Calculations!$A$6:$A$27,0)),"Unknown")</f>
        <v>Smart Home</v>
      </c>
      <c r="J553" s="14" t="n">
        <v>4</v>
      </c>
      <c r="K553" s="16" t="n">
        <v>3892.41</v>
      </c>
      <c r="L553" s="17" t="n">
        <v>0</v>
      </c>
      <c r="M553" s="18" t="n">
        <f aca="false">J553*K553*(1-L553)</f>
        <v>15569.64</v>
      </c>
      <c r="N553" s="18" t="n">
        <f aca="false">J553*IFERROR(INDEX(Calculations!$C$6:$C$27,MATCH(H553,Calculations!$A$6:$A$27,0)),0)</f>
        <v>8800</v>
      </c>
      <c r="O553" s="18" t="n">
        <f aca="false">M553-N553</f>
        <v>6769.64</v>
      </c>
      <c r="P553" s="18" t="n">
        <f aca="false">M553*IFERROR(INDEX(Calculations!$F$6:$F$11,MATCH(I553,Calculations!$E$6:$E$11,0)),0.1)</f>
        <v>1712.6604</v>
      </c>
      <c r="Q553" s="18" t="n">
        <f aca="false">O553-P553</f>
        <v>5056.9796</v>
      </c>
      <c r="R553" s="14" t="s">
        <v>124</v>
      </c>
      <c r="S553" s="14" t="s">
        <v>125</v>
      </c>
    </row>
    <row r="554" customFormat="false" ht="15" hidden="false" customHeight="false" outlineLevel="0" collapsed="false">
      <c r="A554" s="14" t="s">
        <v>1116</v>
      </c>
      <c r="B554" s="15" t="n">
        <v>46230</v>
      </c>
      <c r="C554" s="14" t="s">
        <v>154</v>
      </c>
      <c r="D554" s="14" t="s">
        <v>155</v>
      </c>
      <c r="E554" s="14" t="s">
        <v>156</v>
      </c>
      <c r="F554" s="14" t="s">
        <v>157</v>
      </c>
      <c r="G554" s="14" t="s">
        <v>147</v>
      </c>
      <c r="H554" s="14" t="s">
        <v>65</v>
      </c>
      <c r="I554" s="14" t="str">
        <f aca="false">IFERROR(INDEX(Calculations!$B$6:$B$27,MATCH(H554,Calculations!$A$6:$A$27,0)),"Unknown")</f>
        <v>Computer Peripherals</v>
      </c>
      <c r="J554" s="14" t="n">
        <v>3</v>
      </c>
      <c r="K554" s="16" t="n">
        <v>3196.19</v>
      </c>
      <c r="L554" s="17" t="n">
        <v>0.05</v>
      </c>
      <c r="M554" s="18" t="n">
        <f aca="false">J554*K554*(1-L554)</f>
        <v>9109.1415</v>
      </c>
      <c r="N554" s="18" t="n">
        <f aca="false">J554*IFERROR(INDEX(Calculations!$C$6:$C$27,MATCH(H554,Calculations!$A$6:$A$27,0)),0)</f>
        <v>4800</v>
      </c>
      <c r="O554" s="18" t="n">
        <f aca="false">M554-N554</f>
        <v>4309.1415</v>
      </c>
      <c r="P554" s="18" t="n">
        <f aca="false">M554*IFERROR(INDEX(Calculations!$F$6:$F$11,MATCH(I554,Calculations!$E$6:$E$11,0)),0.1)</f>
        <v>728.73132</v>
      </c>
      <c r="Q554" s="18" t="n">
        <f aca="false">O554-P554</f>
        <v>3580.41018</v>
      </c>
      <c r="R554" s="14" t="s">
        <v>135</v>
      </c>
      <c r="S554" s="14" t="s">
        <v>148</v>
      </c>
    </row>
    <row r="555" customFormat="false" ht="15" hidden="false" customHeight="false" outlineLevel="0" collapsed="false">
      <c r="A555" s="14" t="s">
        <v>1117</v>
      </c>
      <c r="B555" s="15" t="n">
        <v>46231</v>
      </c>
      <c r="C555" s="14" t="s">
        <v>908</v>
      </c>
      <c r="D555" s="14" t="s">
        <v>909</v>
      </c>
      <c r="E555" s="14" t="s">
        <v>156</v>
      </c>
      <c r="F555" s="14" t="s">
        <v>157</v>
      </c>
      <c r="G555" s="14" t="s">
        <v>134</v>
      </c>
      <c r="H555" s="14" t="s">
        <v>52</v>
      </c>
      <c r="I555" s="14" t="str">
        <f aca="false">IFERROR(INDEX(Calculations!$B$6:$B$27,MATCH(H555,Calculations!$A$6:$A$27,0)),"Unknown")</f>
        <v>Audio</v>
      </c>
      <c r="J555" s="14" t="n">
        <v>2</v>
      </c>
      <c r="K555" s="16" t="n">
        <v>1908.25</v>
      </c>
      <c r="L555" s="17" t="n">
        <v>0.2</v>
      </c>
      <c r="M555" s="18" t="n">
        <f aca="false">J555*K555*(1-L555)</f>
        <v>3053.2</v>
      </c>
      <c r="N555" s="18" t="n">
        <f aca="false">J555*IFERROR(INDEX(Calculations!$C$6:$C$27,MATCH(H555,Calculations!$A$6:$A$27,0)),0)</f>
        <v>1800</v>
      </c>
      <c r="O555" s="18" t="n">
        <f aca="false">M555-N555</f>
        <v>1253.2</v>
      </c>
      <c r="P555" s="18" t="n">
        <f aca="false">M555*IFERROR(INDEX(Calculations!$F$6:$F$11,MATCH(I555,Calculations!$E$6:$E$11,0)),0.1)</f>
        <v>305.32</v>
      </c>
      <c r="Q555" s="18" t="n">
        <f aca="false">O555-P555</f>
        <v>947.88</v>
      </c>
      <c r="R555" s="14" t="s">
        <v>124</v>
      </c>
      <c r="S555" s="14" t="s">
        <v>125</v>
      </c>
    </row>
    <row r="556" customFormat="false" ht="15" hidden="false" customHeight="false" outlineLevel="0" collapsed="false">
      <c r="A556" s="14" t="s">
        <v>1118</v>
      </c>
      <c r="B556" s="15" t="n">
        <v>46231</v>
      </c>
      <c r="C556" s="14" t="s">
        <v>465</v>
      </c>
      <c r="D556" s="14" t="s">
        <v>466</v>
      </c>
      <c r="E556" s="14" t="s">
        <v>139</v>
      </c>
      <c r="F556" s="14" t="s">
        <v>152</v>
      </c>
      <c r="G556" s="14" t="s">
        <v>161</v>
      </c>
      <c r="H556" s="14" t="s">
        <v>75</v>
      </c>
      <c r="I556" s="14" t="str">
        <f aca="false">IFERROR(INDEX(Calculations!$B$6:$B$27,MATCH(H556,Calculations!$A$6:$A$27,0)),"Unknown")</f>
        <v>Wearables</v>
      </c>
      <c r="J556" s="14" t="n">
        <v>2</v>
      </c>
      <c r="K556" s="16" t="n">
        <v>3390.79</v>
      </c>
      <c r="L556" s="17" t="n">
        <v>0</v>
      </c>
      <c r="M556" s="18" t="n">
        <f aca="false">J556*K556*(1-L556)</f>
        <v>6781.58</v>
      </c>
      <c r="N556" s="18" t="n">
        <f aca="false">J556*IFERROR(INDEX(Calculations!$C$6:$C$27,MATCH(H556,Calculations!$A$6:$A$27,0)),0)</f>
        <v>3800</v>
      </c>
      <c r="O556" s="18" t="n">
        <f aca="false">M556-N556</f>
        <v>2981.58</v>
      </c>
      <c r="P556" s="18" t="n">
        <f aca="false">M556*IFERROR(INDEX(Calculations!$F$6:$F$11,MATCH(I556,Calculations!$E$6:$E$11,0)),0.1)</f>
        <v>610.3422</v>
      </c>
      <c r="Q556" s="18" t="n">
        <f aca="false">O556-P556</f>
        <v>2371.2378</v>
      </c>
      <c r="R556" s="14" t="s">
        <v>135</v>
      </c>
      <c r="S556" s="14" t="s">
        <v>125</v>
      </c>
    </row>
    <row r="557" customFormat="false" ht="15" hidden="false" customHeight="false" outlineLevel="0" collapsed="false">
      <c r="A557" s="14" t="s">
        <v>1119</v>
      </c>
      <c r="B557" s="15" t="n">
        <v>46232</v>
      </c>
      <c r="C557" s="14" t="s">
        <v>461</v>
      </c>
      <c r="D557" s="14" t="s">
        <v>462</v>
      </c>
      <c r="E557" s="14" t="s">
        <v>194</v>
      </c>
      <c r="F557" s="14" t="s">
        <v>259</v>
      </c>
      <c r="G557" s="14" t="s">
        <v>134</v>
      </c>
      <c r="H557" s="14" t="s">
        <v>54</v>
      </c>
      <c r="I557" s="14" t="str">
        <f aca="false">IFERROR(INDEX(Calculations!$B$6:$B$27,MATCH(H557,Calculations!$A$6:$A$27,0)),"Unknown")</f>
        <v>Audio</v>
      </c>
      <c r="J557" s="14" t="n">
        <v>1</v>
      </c>
      <c r="K557" s="16" t="n">
        <v>2800.28</v>
      </c>
      <c r="L557" s="17" t="n">
        <v>0.05</v>
      </c>
      <c r="M557" s="18" t="n">
        <f aca="false">J557*K557*(1-L557)</f>
        <v>2660.266</v>
      </c>
      <c r="N557" s="18" t="n">
        <f aca="false">J557*IFERROR(INDEX(Calculations!$C$6:$C$27,MATCH(H557,Calculations!$A$6:$A$27,0)),0)</f>
        <v>1400</v>
      </c>
      <c r="O557" s="18" t="n">
        <f aca="false">M557-N557</f>
        <v>1260.266</v>
      </c>
      <c r="P557" s="18" t="n">
        <f aca="false">M557*IFERROR(INDEX(Calculations!$F$6:$F$11,MATCH(I557,Calculations!$E$6:$E$11,0)),0.1)</f>
        <v>266.0266</v>
      </c>
      <c r="Q557" s="18" t="n">
        <f aca="false">O557-P557</f>
        <v>994.2394</v>
      </c>
      <c r="R557" s="14" t="s">
        <v>135</v>
      </c>
      <c r="S557" s="14" t="s">
        <v>125</v>
      </c>
    </row>
    <row r="558" customFormat="false" ht="15" hidden="false" customHeight="false" outlineLevel="0" collapsed="false">
      <c r="A558" s="14" t="s">
        <v>1120</v>
      </c>
      <c r="B558" s="15" t="n">
        <v>46233</v>
      </c>
      <c r="C558" s="14" t="s">
        <v>437</v>
      </c>
      <c r="D558" s="14" t="s">
        <v>438</v>
      </c>
      <c r="E558" s="14" t="s">
        <v>194</v>
      </c>
      <c r="F558" s="14" t="s">
        <v>259</v>
      </c>
      <c r="G558" s="14" t="s">
        <v>170</v>
      </c>
      <c r="H558" s="14" t="s">
        <v>69</v>
      </c>
      <c r="I558" s="14" t="str">
        <f aca="false">IFERROR(INDEX(Calculations!$B$6:$B$27,MATCH(H558,Calculations!$A$6:$A$27,0)),"Unknown")</f>
        <v>Smart Home</v>
      </c>
      <c r="J558" s="14" t="n">
        <v>2</v>
      </c>
      <c r="K558" s="16" t="n">
        <v>772.32</v>
      </c>
      <c r="L558" s="17" t="n">
        <v>0</v>
      </c>
      <c r="M558" s="18" t="n">
        <f aca="false">J558*K558*(1-L558)</f>
        <v>1544.64</v>
      </c>
      <c r="N558" s="18" t="n">
        <f aca="false">J558*IFERROR(INDEX(Calculations!$C$6:$C$27,MATCH(H558,Calculations!$A$6:$A$27,0)),0)</f>
        <v>700</v>
      </c>
      <c r="O558" s="18" t="n">
        <f aca="false">M558-N558</f>
        <v>844.64</v>
      </c>
      <c r="P558" s="18" t="n">
        <f aca="false">M558*IFERROR(INDEX(Calculations!$F$6:$F$11,MATCH(I558,Calculations!$E$6:$E$11,0)),0.1)</f>
        <v>169.9104</v>
      </c>
      <c r="Q558" s="18" t="n">
        <f aca="false">O558-P558</f>
        <v>674.7296</v>
      </c>
      <c r="R558" s="14" t="s">
        <v>165</v>
      </c>
      <c r="S558" s="14" t="s">
        <v>125</v>
      </c>
    </row>
    <row r="559" customFormat="false" ht="15" hidden="false" customHeight="false" outlineLevel="0" collapsed="false">
      <c r="A559" s="14" t="s">
        <v>1121</v>
      </c>
      <c r="B559" s="15" t="n">
        <v>46234</v>
      </c>
      <c r="C559" s="14" t="s">
        <v>392</v>
      </c>
      <c r="D559" s="14" t="s">
        <v>393</v>
      </c>
      <c r="E559" s="14" t="s">
        <v>194</v>
      </c>
      <c r="F559" s="14" t="s">
        <v>195</v>
      </c>
      <c r="G559" s="14" t="s">
        <v>161</v>
      </c>
      <c r="H559" s="14" t="s">
        <v>65</v>
      </c>
      <c r="I559" s="14" t="str">
        <f aca="false">IFERROR(INDEX(Calculations!$B$6:$B$27,MATCH(H559,Calculations!$A$6:$A$27,0)),"Unknown")</f>
        <v>Computer Peripherals</v>
      </c>
      <c r="J559" s="14" t="n">
        <v>2</v>
      </c>
      <c r="K559" s="16" t="n">
        <v>3167.39</v>
      </c>
      <c r="L559" s="17" t="n">
        <v>0.05</v>
      </c>
      <c r="M559" s="18" t="n">
        <f aca="false">J559*K559*(1-L559)</f>
        <v>6018.041</v>
      </c>
      <c r="N559" s="18" t="n">
        <f aca="false">J559*IFERROR(INDEX(Calculations!$C$6:$C$27,MATCH(H559,Calculations!$A$6:$A$27,0)),0)</f>
        <v>3200</v>
      </c>
      <c r="O559" s="18" t="n">
        <f aca="false">M559-N559</f>
        <v>2818.041</v>
      </c>
      <c r="P559" s="18" t="n">
        <f aca="false">M559*IFERROR(INDEX(Calculations!$F$6:$F$11,MATCH(I559,Calculations!$E$6:$E$11,0)),0.1)</f>
        <v>481.44328</v>
      </c>
      <c r="Q559" s="18" t="n">
        <f aca="false">O559-P559</f>
        <v>2336.59772</v>
      </c>
      <c r="R559" s="14" t="s">
        <v>130</v>
      </c>
      <c r="S559" s="14" t="s">
        <v>125</v>
      </c>
    </row>
    <row r="560" customFormat="false" ht="15" hidden="false" customHeight="false" outlineLevel="0" collapsed="false">
      <c r="A560" s="14" t="s">
        <v>1122</v>
      </c>
      <c r="B560" s="15" t="n">
        <v>46234</v>
      </c>
      <c r="C560" s="14" t="s">
        <v>137</v>
      </c>
      <c r="D560" s="14" t="s">
        <v>138</v>
      </c>
      <c r="E560" s="14" t="s">
        <v>139</v>
      </c>
      <c r="F560" s="14" t="s">
        <v>140</v>
      </c>
      <c r="G560" s="14" t="s">
        <v>147</v>
      </c>
      <c r="H560" s="14" t="s">
        <v>66</v>
      </c>
      <c r="I560" s="14" t="str">
        <f aca="false">IFERROR(INDEX(Calculations!$B$6:$B$27,MATCH(H560,Calculations!$A$6:$A$27,0)),"Unknown")</f>
        <v>Computer Peripherals</v>
      </c>
      <c r="J560" s="14" t="n">
        <v>1</v>
      </c>
      <c r="K560" s="16" t="n">
        <v>13128.12</v>
      </c>
      <c r="L560" s="17" t="n">
        <v>0</v>
      </c>
      <c r="M560" s="18" t="n">
        <f aca="false">J560*K560*(1-L560)</f>
        <v>13128.12</v>
      </c>
      <c r="N560" s="18" t="n">
        <f aca="false">J560*IFERROR(INDEX(Calculations!$C$6:$C$27,MATCH(H560,Calculations!$A$6:$A$27,0)),0)</f>
        <v>7200</v>
      </c>
      <c r="O560" s="18" t="n">
        <f aca="false">M560-N560</f>
        <v>5928.12</v>
      </c>
      <c r="P560" s="18" t="n">
        <f aca="false">M560*IFERROR(INDEX(Calculations!$F$6:$F$11,MATCH(I560,Calculations!$E$6:$E$11,0)),0.1)</f>
        <v>1050.2496</v>
      </c>
      <c r="Q560" s="18" t="n">
        <f aca="false">O560-P560</f>
        <v>4877.8704</v>
      </c>
      <c r="R560" s="14" t="s">
        <v>124</v>
      </c>
      <c r="S560" s="14" t="s">
        <v>125</v>
      </c>
    </row>
    <row r="561" customFormat="false" ht="15" hidden="false" customHeight="false" outlineLevel="0" collapsed="false">
      <c r="A561" s="14" t="s">
        <v>1123</v>
      </c>
      <c r="B561" s="15" t="n">
        <v>46234</v>
      </c>
      <c r="C561" s="14" t="s">
        <v>236</v>
      </c>
      <c r="D561" s="14" t="s">
        <v>237</v>
      </c>
      <c r="E561" s="14" t="s">
        <v>145</v>
      </c>
      <c r="F561" s="14" t="s">
        <v>174</v>
      </c>
      <c r="G561" s="14" t="s">
        <v>123</v>
      </c>
      <c r="H561" s="14" t="s">
        <v>66</v>
      </c>
      <c r="I561" s="14" t="str">
        <f aca="false">IFERROR(INDEX(Calculations!$B$6:$B$27,MATCH(H561,Calculations!$A$6:$A$27,0)),"Unknown")</f>
        <v>Computer Peripherals</v>
      </c>
      <c r="J561" s="14" t="n">
        <v>2</v>
      </c>
      <c r="K561" s="16" t="n">
        <v>12931.6</v>
      </c>
      <c r="L561" s="17" t="n">
        <v>0</v>
      </c>
      <c r="M561" s="18" t="n">
        <f aca="false">J561*K561*(1-L561)</f>
        <v>25863.2</v>
      </c>
      <c r="N561" s="18" t="n">
        <f aca="false">J561*IFERROR(INDEX(Calculations!$C$6:$C$27,MATCH(H561,Calculations!$A$6:$A$27,0)),0)</f>
        <v>14400</v>
      </c>
      <c r="O561" s="18" t="n">
        <f aca="false">M561-N561</f>
        <v>11463.2</v>
      </c>
      <c r="P561" s="18" t="n">
        <f aca="false">M561*IFERROR(INDEX(Calculations!$F$6:$F$11,MATCH(I561,Calculations!$E$6:$E$11,0)),0.1)</f>
        <v>2069.056</v>
      </c>
      <c r="Q561" s="18" t="n">
        <f aca="false">O561-P561</f>
        <v>9394.144</v>
      </c>
      <c r="R561" s="14" t="s">
        <v>130</v>
      </c>
      <c r="S561" s="14"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5" min="2" style="0" width="16"/>
    <col collapsed="false" customWidth="true" hidden="false" outlineLevel="0" max="6" min="6" style="0" width="3"/>
  </cols>
  <sheetData>
    <row r="1" customFormat="false" ht="19.7" hidden="false" customHeight="false" outlineLevel="0" collapsed="false">
      <c r="A1" s="1" t="s">
        <v>34</v>
      </c>
    </row>
    <row r="2" customFormat="false" ht="15" hidden="false" customHeight="false" outlineLevel="0" collapsed="false">
      <c r="A2" s="2" t="s">
        <v>1124</v>
      </c>
    </row>
    <row r="4" customFormat="false" ht="15" hidden="false" customHeight="false" outlineLevel="0" collapsed="false">
      <c r="A4" s="3" t="s">
        <v>1125</v>
      </c>
      <c r="B4" s="3"/>
      <c r="C4" s="3"/>
      <c r="D4" s="3"/>
    </row>
    <row r="5" customFormat="false" ht="26.85" hidden="false" customHeight="false" outlineLevel="0" collapsed="false">
      <c r="A5" s="7" t="s">
        <v>108</v>
      </c>
      <c r="B5" s="7" t="s">
        <v>82</v>
      </c>
      <c r="C5" s="7" t="s">
        <v>87</v>
      </c>
      <c r="D5" s="7" t="s">
        <v>1126</v>
      </c>
    </row>
    <row r="6" customFormat="false" ht="15" hidden="false" customHeight="false" outlineLevel="0" collapsed="false">
      <c r="A6" s="8" t="s">
        <v>194</v>
      </c>
      <c r="B6" s="9" t="n">
        <f aca="false">SUMIFS('Raw Data'!$M$2:$M$561,'Raw Data'!$E$2:$E$561,A6,'Raw Data'!$S$2:$S$561,"&lt;&gt;Cancelled",'Raw Data'!$S$2:$S$561,"&lt;&gt;Returned")</f>
        <v>578410.7655</v>
      </c>
      <c r="C6" s="8" t="n">
        <f aca="false">COUNTIFS('Raw Data'!$E$2:$E$561,A6,'Raw Data'!$S$2:$S$561,"&lt;&gt;Cancelled",'Raw Data'!$S$2:$S$561,"&lt;&gt;Returned")</f>
        <v>92</v>
      </c>
      <c r="D6" s="9" t="n">
        <f aca="false">IFERROR(B6/C6,0)</f>
        <v>6287.07353804348</v>
      </c>
    </row>
    <row r="7" customFormat="false" ht="15" hidden="false" customHeight="false" outlineLevel="0" collapsed="false">
      <c r="A7" s="8" t="s">
        <v>156</v>
      </c>
      <c r="B7" s="9" t="n">
        <f aca="false">SUMIFS('Raw Data'!$M$2:$M$561,'Raw Data'!$E$2:$E$561,A7,'Raw Data'!$S$2:$S$561,"&lt;&gt;Cancelled",'Raw Data'!$S$2:$S$561,"&lt;&gt;Returned")</f>
        <v>521494.893</v>
      </c>
      <c r="C7" s="8" t="n">
        <f aca="false">COUNTIFS('Raw Data'!$E$2:$E$561,A7,'Raw Data'!$S$2:$S$561,"&lt;&gt;Cancelled",'Raw Data'!$S$2:$S$561,"&lt;&gt;Returned")</f>
        <v>99</v>
      </c>
      <c r="D7" s="9" t="n">
        <f aca="false">IFERROR(B7/C7,0)</f>
        <v>5267.62518181818</v>
      </c>
    </row>
    <row r="8" customFormat="false" ht="15" hidden="false" customHeight="false" outlineLevel="0" collapsed="false">
      <c r="A8" s="8" t="s">
        <v>139</v>
      </c>
      <c r="B8" s="9" t="n">
        <f aca="false">SUMIFS('Raw Data'!$M$2:$M$561,'Raw Data'!$E$2:$E$561,A8,'Raw Data'!$S$2:$S$561,"&lt;&gt;Cancelled",'Raw Data'!$S$2:$S$561,"&lt;&gt;Returned")</f>
        <v>574551.983</v>
      </c>
      <c r="C8" s="8" t="n">
        <f aca="false">COUNTIFS('Raw Data'!$E$2:$E$561,A8,'Raw Data'!$S$2:$S$561,"&lt;&gt;Cancelled",'Raw Data'!$S$2:$S$561,"&lt;&gt;Returned")</f>
        <v>88</v>
      </c>
      <c r="D8" s="9" t="n">
        <f aca="false">IFERROR(B8/C8,0)</f>
        <v>6528.99980681818</v>
      </c>
    </row>
    <row r="9" customFormat="false" ht="15" hidden="false" customHeight="false" outlineLevel="0" collapsed="false">
      <c r="A9" s="8" t="s">
        <v>145</v>
      </c>
      <c r="B9" s="9" t="n">
        <f aca="false">SUMIFS('Raw Data'!$M$2:$M$561,'Raw Data'!$E$2:$E$561,A9,'Raw Data'!$S$2:$S$561,"&lt;&gt;Cancelled",'Raw Data'!$S$2:$S$561,"&lt;&gt;Returned")</f>
        <v>749762.952</v>
      </c>
      <c r="C9" s="8" t="n">
        <f aca="false">COUNTIFS('Raw Data'!$E$2:$E$561,A9,'Raw Data'!$S$2:$S$561,"&lt;&gt;Cancelled",'Raw Data'!$S$2:$S$561,"&lt;&gt;Returned")</f>
        <v>109</v>
      </c>
      <c r="D9" s="9" t="n">
        <f aca="false">IFERROR(B9/C9,0)</f>
        <v>6878.55919266055</v>
      </c>
    </row>
    <row r="10" customFormat="false" ht="15" hidden="false" customHeight="false" outlineLevel="0" collapsed="false">
      <c r="A10" s="8" t="s">
        <v>121</v>
      </c>
      <c r="B10" s="9" t="n">
        <f aca="false">SUMIFS('Raw Data'!$M$2:$M$561,'Raw Data'!$E$2:$E$561,A10,'Raw Data'!$S$2:$S$561,"&lt;&gt;Cancelled",'Raw Data'!$S$2:$S$561,"&lt;&gt;Returned")</f>
        <v>858494.327</v>
      </c>
      <c r="C10" s="8" t="n">
        <f aca="false">COUNTIFS('Raw Data'!$E$2:$E$561,A10,'Raw Data'!$S$2:$S$561,"&lt;&gt;Cancelled",'Raw Data'!$S$2:$S$561,"&lt;&gt;Returned")</f>
        <v>96</v>
      </c>
      <c r="D10" s="9" t="n">
        <f aca="false">IFERROR(B10/C10,0)</f>
        <v>8942.64923958333</v>
      </c>
    </row>
    <row r="13" customFormat="false" ht="15" hidden="false" customHeight="false" outlineLevel="0" collapsed="false">
      <c r="A13" s="3" t="s">
        <v>1127</v>
      </c>
      <c r="B13" s="3"/>
      <c r="C13" s="3"/>
      <c r="D13" s="3"/>
    </row>
    <row r="14" customFormat="false" ht="26.85" hidden="false" customHeight="false" outlineLevel="0" collapsed="false">
      <c r="A14" s="7" t="s">
        <v>47</v>
      </c>
      <c r="B14" s="7" t="s">
        <v>114</v>
      </c>
      <c r="C14" s="7" t="s">
        <v>84</v>
      </c>
      <c r="D14" s="7" t="s">
        <v>1128</v>
      </c>
    </row>
    <row r="15" customFormat="false" ht="15" hidden="false" customHeight="false" outlineLevel="0" collapsed="false">
      <c r="A15" s="8" t="s">
        <v>51</v>
      </c>
      <c r="B15" s="9" t="n">
        <f aca="false">SUMIFS('Raw Data'!$M$2:$M$561,'Raw Data'!$I$2:$I$561,A15,'Raw Data'!$S$2:$S$561,"&lt;&gt;Cancelled",'Raw Data'!$S$2:$S$561,"&lt;&gt;Returned")</f>
        <v>294877.6605</v>
      </c>
      <c r="C15" s="9" t="n">
        <f aca="false">SUMIFS('Raw Data'!$O$2:$O$561,'Raw Data'!$I$2:$I$561,A15,'Raw Data'!$S$2:$S$561,"&lt;&gt;Cancelled",'Raw Data'!$S$2:$S$561,"&lt;&gt;Returned")</f>
        <v>136827.6605</v>
      </c>
      <c r="D15" s="10" t="n">
        <f aca="false">IFERROR(C15/B15,0)</f>
        <v>0.464015009709425</v>
      </c>
    </row>
    <row r="16" customFormat="false" ht="15" hidden="false" customHeight="false" outlineLevel="0" collapsed="false">
      <c r="A16" s="8" t="s">
        <v>53</v>
      </c>
      <c r="B16" s="9" t="n">
        <f aca="false">SUMIFS('Raw Data'!$M$2:$M$561,'Raw Data'!$I$2:$I$561,A16,'Raw Data'!$S$2:$S$561,"&lt;&gt;Cancelled",'Raw Data'!$S$2:$S$561,"&lt;&gt;Returned")</f>
        <v>69145.095</v>
      </c>
      <c r="C16" s="9" t="n">
        <f aca="false">SUMIFS('Raw Data'!$O$2:$O$561,'Raw Data'!$I$2:$I$561,A16,'Raw Data'!$S$2:$S$561,"&lt;&gt;Cancelled",'Raw Data'!$S$2:$S$561,"&lt;&gt;Returned")</f>
        <v>38765.095</v>
      </c>
      <c r="D16" s="10" t="n">
        <f aca="false">IFERROR(C16/B16,0)</f>
        <v>0.560634055098196</v>
      </c>
    </row>
    <row r="17" customFormat="false" ht="15" hidden="false" customHeight="false" outlineLevel="0" collapsed="false">
      <c r="A17" s="8" t="s">
        <v>55</v>
      </c>
      <c r="B17" s="9" t="n">
        <f aca="false">SUMIFS('Raw Data'!$M$2:$M$561,'Raw Data'!$I$2:$I$561,A17,'Raw Data'!$S$2:$S$561,"&lt;&gt;Cancelled",'Raw Data'!$S$2:$S$561,"&lt;&gt;Returned")</f>
        <v>967569.5735</v>
      </c>
      <c r="C17" s="9" t="n">
        <f aca="false">SUMIFS('Raw Data'!$O$2:$O$561,'Raw Data'!$I$2:$I$561,A17,'Raw Data'!$S$2:$S$561,"&lt;&gt;Cancelled",'Raw Data'!$S$2:$S$561,"&lt;&gt;Returned")</f>
        <v>421769.5735</v>
      </c>
      <c r="D17" s="10" t="n">
        <f aca="false">IFERROR(C17/B17,0)</f>
        <v>0.43590619739553</v>
      </c>
    </row>
    <row r="18" customFormat="false" ht="15" hidden="false" customHeight="false" outlineLevel="0" collapsed="false">
      <c r="A18" s="8" t="s">
        <v>57</v>
      </c>
      <c r="B18" s="9" t="n">
        <f aca="false">SUMIFS('Raw Data'!$M$2:$M$561,'Raw Data'!$I$2:$I$561,A18,'Raw Data'!$S$2:$S$561,"&lt;&gt;Cancelled",'Raw Data'!$S$2:$S$561,"&lt;&gt;Returned")</f>
        <v>605532.5835</v>
      </c>
      <c r="C18" s="9" t="n">
        <f aca="false">SUMIFS('Raw Data'!$O$2:$O$561,'Raw Data'!$I$2:$I$561,A18,'Raw Data'!$S$2:$S$561,"&lt;&gt;Cancelled",'Raw Data'!$S$2:$S$561,"&lt;&gt;Returned")</f>
        <v>244882.5835</v>
      </c>
      <c r="D18" s="10" t="n">
        <f aca="false">IFERROR(C18/B18,0)</f>
        <v>0.404408598600211</v>
      </c>
    </row>
    <row r="19" customFormat="false" ht="15" hidden="false" customHeight="false" outlineLevel="0" collapsed="false">
      <c r="A19" s="8" t="s">
        <v>59</v>
      </c>
      <c r="B19" s="9" t="n">
        <f aca="false">SUMIFS('Raw Data'!$M$2:$M$561,'Raw Data'!$I$2:$I$561,A19,'Raw Data'!$S$2:$S$561,"&lt;&gt;Cancelled",'Raw Data'!$S$2:$S$561,"&lt;&gt;Returned")</f>
        <v>612326.0955</v>
      </c>
      <c r="C19" s="9" t="n">
        <f aca="false">SUMIFS('Raw Data'!$O$2:$O$561,'Raw Data'!$I$2:$I$561,A19,'Raw Data'!$S$2:$S$561,"&lt;&gt;Cancelled",'Raw Data'!$S$2:$S$561,"&lt;&gt;Returned")</f>
        <v>228526.0955</v>
      </c>
      <c r="D19" s="10" t="n">
        <f aca="false">IFERROR(C19/B19,0)</f>
        <v>0.373209793244881</v>
      </c>
    </row>
    <row r="20" customFormat="false" ht="15" hidden="false" customHeight="false" outlineLevel="0" collapsed="false">
      <c r="A20" s="8" t="s">
        <v>61</v>
      </c>
      <c r="B20" s="9" t="n">
        <f aca="false">SUMIFS('Raw Data'!$M$2:$M$561,'Raw Data'!$I$2:$I$561,A20,'Raw Data'!$S$2:$S$561,"&lt;&gt;Cancelled",'Raw Data'!$S$2:$S$561,"&lt;&gt;Returned")</f>
        <v>733263.9125</v>
      </c>
      <c r="C20" s="9" t="n">
        <f aca="false">SUMIFS('Raw Data'!$O$2:$O$561,'Raw Data'!$I$2:$I$561,A20,'Raw Data'!$S$2:$S$561,"&lt;&gt;Cancelled",'Raw Data'!$S$2:$S$561,"&lt;&gt;Returned")</f>
        <v>294463.9125</v>
      </c>
      <c r="D20" s="10" t="n">
        <f aca="false">IFERROR(C20/B20,0)</f>
        <v>0.401579714316024</v>
      </c>
    </row>
    <row r="23" customFormat="false" ht="15" hidden="false" customHeight="false" outlineLevel="0" collapsed="false">
      <c r="A23" s="3" t="s">
        <v>1129</v>
      </c>
      <c r="B23" s="3"/>
      <c r="C23" s="3"/>
      <c r="D23" s="3"/>
    </row>
    <row r="24" customFormat="false" ht="15" hidden="false" customHeight="false" outlineLevel="0" collapsed="false">
      <c r="A24" s="7" t="s">
        <v>46</v>
      </c>
      <c r="B24" s="7" t="s">
        <v>114</v>
      </c>
      <c r="C24" s="7" t="s">
        <v>84</v>
      </c>
      <c r="D24" s="7" t="s">
        <v>1130</v>
      </c>
    </row>
    <row r="25" customFormat="false" ht="15" hidden="false" customHeight="false" outlineLevel="0" collapsed="false">
      <c r="A25" s="8" t="s">
        <v>50</v>
      </c>
      <c r="B25" s="9" t="n">
        <f aca="false">SUMIFS('Raw Data'!$M$2:$M$561,'Raw Data'!$H$2:$H$561,A25,'Raw Data'!$S$2:$S$561,"&lt;&gt;Cancelled",'Raw Data'!$S$2:$S$561,"&lt;&gt;Returned")</f>
        <v>38978.7165</v>
      </c>
      <c r="C25" s="9" t="n">
        <f aca="false">SUMIFS('Raw Data'!$O$2:$O$561,'Raw Data'!$H$2:$H$561,A25,'Raw Data'!$S$2:$S$561,"&lt;&gt;Cancelled",'Raw Data'!$S$2:$S$561,"&lt;&gt;Returned")</f>
        <v>18178.7165</v>
      </c>
      <c r="D25" s="8" t="n">
        <f aca="false">SUMIFS('Raw Data'!$J$2:$J$561,'Raw Data'!$H$2:$H$561,A25,'Raw Data'!$S$2:$S$561,"&lt;&gt;Cancelled",'Raw Data'!$S$2:$S$561,"&lt;&gt;Returned")</f>
        <v>32</v>
      </c>
    </row>
    <row r="26" customFormat="false" ht="15" hidden="false" customHeight="false" outlineLevel="0" collapsed="false">
      <c r="A26" s="8" t="s">
        <v>52</v>
      </c>
      <c r="B26" s="9" t="n">
        <f aca="false">SUMIFS('Raw Data'!$M$2:$M$561,'Raw Data'!$H$2:$H$561,A26,'Raw Data'!$S$2:$S$561,"&lt;&gt;Cancelled",'Raw Data'!$S$2:$S$561,"&lt;&gt;Returned")</f>
        <v>75200.12</v>
      </c>
      <c r="C26" s="9" t="n">
        <f aca="false">SUMIFS('Raw Data'!$O$2:$O$561,'Raw Data'!$H$2:$H$561,A26,'Raw Data'!$S$2:$S$561,"&lt;&gt;Cancelled",'Raw Data'!$S$2:$S$561,"&lt;&gt;Returned")</f>
        <v>37400.12</v>
      </c>
      <c r="D26" s="8" t="n">
        <f aca="false">SUMIFS('Raw Data'!$J$2:$J$561,'Raw Data'!$H$2:$H$561,A26,'Raw Data'!$S$2:$S$561,"&lt;&gt;Cancelled",'Raw Data'!$S$2:$S$561,"&lt;&gt;Returned")</f>
        <v>42</v>
      </c>
    </row>
    <row r="27" customFormat="false" ht="15" hidden="false" customHeight="false" outlineLevel="0" collapsed="false">
      <c r="A27" s="8" t="s">
        <v>54</v>
      </c>
      <c r="B27" s="9" t="n">
        <f aca="false">SUMIFS('Raw Data'!$M$2:$M$561,'Raw Data'!$H$2:$H$561,A27,'Raw Data'!$S$2:$S$561,"&lt;&gt;Cancelled",'Raw Data'!$S$2:$S$561,"&lt;&gt;Returned")</f>
        <v>138387.0145</v>
      </c>
      <c r="C27" s="9" t="n">
        <f aca="false">SUMIFS('Raw Data'!$O$2:$O$561,'Raw Data'!$H$2:$H$561,A27,'Raw Data'!$S$2:$S$561,"&lt;&gt;Cancelled",'Raw Data'!$S$2:$S$561,"&lt;&gt;Returned")</f>
        <v>62787.0145</v>
      </c>
      <c r="D27" s="8" t="n">
        <f aca="false">SUMIFS('Raw Data'!$J$2:$J$561,'Raw Data'!$H$2:$H$561,A27,'Raw Data'!$S$2:$S$561,"&lt;&gt;Cancelled",'Raw Data'!$S$2:$S$561,"&lt;&gt;Returned")</f>
        <v>54</v>
      </c>
    </row>
    <row r="28" customFormat="false" ht="15" hidden="false" customHeight="false" outlineLevel="0" collapsed="false">
      <c r="A28" s="8" t="s">
        <v>56</v>
      </c>
      <c r="B28" s="9" t="n">
        <f aca="false">SUMIFS('Raw Data'!$M$2:$M$561,'Raw Data'!$H$2:$H$561,A28,'Raw Data'!$S$2:$S$561,"&lt;&gt;Cancelled",'Raw Data'!$S$2:$S$561,"&lt;&gt;Returned")</f>
        <v>42311.8095</v>
      </c>
      <c r="C28" s="9" t="n">
        <f aca="false">SUMIFS('Raw Data'!$O$2:$O$561,'Raw Data'!$H$2:$H$561,A28,'Raw Data'!$S$2:$S$561,"&lt;&gt;Cancelled",'Raw Data'!$S$2:$S$561,"&lt;&gt;Returned")</f>
        <v>18461.8095</v>
      </c>
      <c r="D28" s="8" t="n">
        <f aca="false">SUMIFS('Raw Data'!$J$2:$J$561,'Raw Data'!$H$2:$H$561,A28,'Raw Data'!$S$2:$S$561,"&lt;&gt;Cancelled",'Raw Data'!$S$2:$S$561,"&lt;&gt;Returned")</f>
        <v>53</v>
      </c>
    </row>
    <row r="29" customFormat="false" ht="15" hidden="false" customHeight="false" outlineLevel="0" collapsed="false">
      <c r="A29" s="8" t="s">
        <v>58</v>
      </c>
      <c r="B29" s="9" t="n">
        <f aca="false">SUMIFS('Raw Data'!$M$2:$M$561,'Raw Data'!$H$2:$H$561,A29,'Raw Data'!$S$2:$S$561,"&lt;&gt;Cancelled",'Raw Data'!$S$2:$S$561,"&lt;&gt;Returned")</f>
        <v>24143.932</v>
      </c>
      <c r="C29" s="9" t="n">
        <f aca="false">SUMIFS('Raw Data'!$O$2:$O$561,'Raw Data'!$H$2:$H$561,A29,'Raw Data'!$S$2:$S$561,"&lt;&gt;Cancelled",'Raw Data'!$S$2:$S$561,"&lt;&gt;Returned")</f>
        <v>12703.932</v>
      </c>
      <c r="D29" s="8" t="n">
        <f aca="false">SUMIFS('Raw Data'!$J$2:$J$561,'Raw Data'!$H$2:$H$561,A29,'Raw Data'!$S$2:$S$561,"&lt;&gt;Cancelled",'Raw Data'!$S$2:$S$561,"&lt;&gt;Returned")</f>
        <v>52</v>
      </c>
    </row>
    <row r="30" customFormat="false" ht="15" hidden="false" customHeight="false" outlineLevel="0" collapsed="false">
      <c r="A30" s="8" t="s">
        <v>60</v>
      </c>
      <c r="B30" s="9" t="n">
        <f aca="false">SUMIFS('Raw Data'!$M$2:$M$561,'Raw Data'!$H$2:$H$561,A30,'Raw Data'!$S$2:$S$561,"&lt;&gt;Cancelled",'Raw Data'!$S$2:$S$561,"&lt;&gt;Returned")</f>
        <v>15052.809</v>
      </c>
      <c r="C30" s="9" t="n">
        <f aca="false">SUMIFS('Raw Data'!$O$2:$O$561,'Raw Data'!$H$2:$H$561,A30,'Raw Data'!$S$2:$S$561,"&lt;&gt;Cancelled",'Raw Data'!$S$2:$S$561,"&lt;&gt;Returned")</f>
        <v>9202.809</v>
      </c>
      <c r="D30" s="8" t="n">
        <f aca="false">SUMIFS('Raw Data'!$J$2:$J$561,'Raw Data'!$H$2:$H$561,A30,'Raw Data'!$S$2:$S$561,"&lt;&gt;Cancelled",'Raw Data'!$S$2:$S$561,"&lt;&gt;Returned")</f>
        <v>65</v>
      </c>
    </row>
    <row r="31" customFormat="false" ht="15" hidden="false" customHeight="false" outlineLevel="0" collapsed="false">
      <c r="A31" s="8" t="s">
        <v>62</v>
      </c>
      <c r="B31" s="9" t="n">
        <f aca="false">SUMIFS('Raw Data'!$M$2:$M$561,'Raw Data'!$H$2:$H$561,A31,'Raw Data'!$S$2:$S$561,"&lt;&gt;Cancelled",'Raw Data'!$S$2:$S$561,"&lt;&gt;Returned")</f>
        <v>13440.138</v>
      </c>
      <c r="C31" s="9" t="n">
        <f aca="false">SUMIFS('Raw Data'!$O$2:$O$561,'Raw Data'!$H$2:$H$561,A31,'Raw Data'!$S$2:$S$561,"&lt;&gt;Cancelled",'Raw Data'!$S$2:$S$561,"&lt;&gt;Returned")</f>
        <v>7850.138</v>
      </c>
      <c r="D31" s="8" t="n">
        <f aca="false">SUMIFS('Raw Data'!$J$2:$J$561,'Raw Data'!$H$2:$H$561,A31,'Raw Data'!$S$2:$S$561,"&lt;&gt;Cancelled",'Raw Data'!$S$2:$S$561,"&lt;&gt;Returned")</f>
        <v>43</v>
      </c>
    </row>
    <row r="32" customFormat="false" ht="15" hidden="false" customHeight="false" outlineLevel="0" collapsed="false">
      <c r="A32" s="8" t="s">
        <v>63</v>
      </c>
      <c r="B32" s="9" t="n">
        <f aca="false">SUMIFS('Raw Data'!$M$2:$M$561,'Raw Data'!$H$2:$H$561,A32,'Raw Data'!$S$2:$S$561,"&lt;&gt;Cancelled",'Raw Data'!$S$2:$S$561,"&lt;&gt;Returned")</f>
        <v>16508.216</v>
      </c>
      <c r="C32" s="9" t="n">
        <f aca="false">SUMIFS('Raw Data'!$O$2:$O$561,'Raw Data'!$H$2:$H$561,A32,'Raw Data'!$S$2:$S$561,"&lt;&gt;Cancelled",'Raw Data'!$S$2:$S$561,"&lt;&gt;Returned")</f>
        <v>9008.216</v>
      </c>
      <c r="D32" s="8" t="n">
        <f aca="false">SUMIFS('Raw Data'!$J$2:$J$561,'Raw Data'!$H$2:$H$561,A32,'Raw Data'!$S$2:$S$561,"&lt;&gt;Cancelled",'Raw Data'!$S$2:$S$561,"&lt;&gt;Returned")</f>
        <v>50</v>
      </c>
    </row>
    <row r="33" customFormat="false" ht="15" hidden="false" customHeight="false" outlineLevel="0" collapsed="false">
      <c r="A33" s="8" t="s">
        <v>64</v>
      </c>
      <c r="B33" s="9" t="n">
        <f aca="false">SUMIFS('Raw Data'!$M$2:$M$561,'Raw Data'!$H$2:$H$561,A33,'Raw Data'!$S$2:$S$561,"&lt;&gt;Cancelled",'Raw Data'!$S$2:$S$561,"&lt;&gt;Returned")</f>
        <v>24917.5125</v>
      </c>
      <c r="C33" s="9" t="n">
        <f aca="false">SUMIFS('Raw Data'!$O$2:$O$561,'Raw Data'!$H$2:$H$561,A33,'Raw Data'!$S$2:$S$561,"&lt;&gt;Cancelled",'Raw Data'!$S$2:$S$561,"&lt;&gt;Returned")</f>
        <v>13017.5125</v>
      </c>
      <c r="D33" s="8" t="n">
        <f aca="false">SUMIFS('Raw Data'!$J$2:$J$561,'Raw Data'!$H$2:$H$561,A33,'Raw Data'!$S$2:$S$561,"&lt;&gt;Cancelled",'Raw Data'!$S$2:$S$561,"&lt;&gt;Returned")</f>
        <v>34</v>
      </c>
    </row>
    <row r="34" customFormat="false" ht="15" hidden="false" customHeight="false" outlineLevel="0" collapsed="false">
      <c r="A34" s="8" t="s">
        <v>65</v>
      </c>
      <c r="B34" s="9" t="n">
        <f aca="false">SUMIFS('Raw Data'!$M$2:$M$561,'Raw Data'!$H$2:$H$561,A34,'Raw Data'!$S$2:$S$561,"&lt;&gt;Cancelled",'Raw Data'!$S$2:$S$561,"&lt;&gt;Returned")</f>
        <v>144525.804</v>
      </c>
      <c r="C34" s="9" t="n">
        <f aca="false">SUMIFS('Raw Data'!$O$2:$O$561,'Raw Data'!$H$2:$H$561,A34,'Raw Data'!$S$2:$S$561,"&lt;&gt;Cancelled",'Raw Data'!$S$2:$S$561,"&lt;&gt;Returned")</f>
        <v>67725.804</v>
      </c>
      <c r="D34" s="8" t="n">
        <f aca="false">SUMIFS('Raw Data'!$J$2:$J$561,'Raw Data'!$H$2:$H$561,A34,'Raw Data'!$S$2:$S$561,"&lt;&gt;Cancelled",'Raw Data'!$S$2:$S$561,"&lt;&gt;Returned")</f>
        <v>48</v>
      </c>
    </row>
    <row r="35" customFormat="false" ht="15" hidden="false" customHeight="false" outlineLevel="0" collapsed="false">
      <c r="A35" s="8" t="s">
        <v>66</v>
      </c>
      <c r="B35" s="9" t="n">
        <f aca="false">SUMIFS('Raw Data'!$M$2:$M$561,'Raw Data'!$H$2:$H$561,A35,'Raw Data'!$S$2:$S$561,"&lt;&gt;Cancelled",'Raw Data'!$S$2:$S$561,"&lt;&gt;Returned")</f>
        <v>672143.2815</v>
      </c>
      <c r="C35" s="9" t="n">
        <f aca="false">SUMIFS('Raw Data'!$O$2:$O$561,'Raw Data'!$H$2:$H$561,A35,'Raw Data'!$S$2:$S$561,"&lt;&gt;Cancelled",'Raw Data'!$S$2:$S$561,"&lt;&gt;Returned")</f>
        <v>283343.2815</v>
      </c>
      <c r="D35" s="8" t="n">
        <f aca="false">SUMIFS('Raw Data'!$J$2:$J$561,'Raw Data'!$H$2:$H$561,A35,'Raw Data'!$S$2:$S$561,"&lt;&gt;Cancelled",'Raw Data'!$S$2:$S$561,"&lt;&gt;Returned")</f>
        <v>54</v>
      </c>
    </row>
    <row r="36" customFormat="false" ht="15" hidden="false" customHeight="false" outlineLevel="0" collapsed="false">
      <c r="A36" s="8" t="s">
        <v>67</v>
      </c>
      <c r="B36" s="9" t="n">
        <f aca="false">SUMIFS('Raw Data'!$M$2:$M$561,'Raw Data'!$H$2:$H$561,A36,'Raw Data'!$S$2:$S$561,"&lt;&gt;Cancelled",'Raw Data'!$S$2:$S$561,"&lt;&gt;Returned")</f>
        <v>94469.3565</v>
      </c>
      <c r="C36" s="9" t="n">
        <f aca="false">SUMIFS('Raw Data'!$O$2:$O$561,'Raw Data'!$H$2:$H$561,A36,'Raw Data'!$S$2:$S$561,"&lt;&gt;Cancelled",'Raw Data'!$S$2:$S$561,"&lt;&gt;Returned")</f>
        <v>43169.3565</v>
      </c>
      <c r="D36" s="8" t="n">
        <f aca="false">SUMIFS('Raw Data'!$J$2:$J$561,'Raw Data'!$H$2:$H$561,A36,'Raw Data'!$S$2:$S$561,"&lt;&gt;Cancelled",'Raw Data'!$S$2:$S$561,"&lt;&gt;Returned")</f>
        <v>57</v>
      </c>
    </row>
    <row r="37" customFormat="false" ht="15" hidden="false" customHeight="false" outlineLevel="0" collapsed="false">
      <c r="A37" s="8" t="s">
        <v>68</v>
      </c>
      <c r="B37" s="9" t="n">
        <f aca="false">SUMIFS('Raw Data'!$M$2:$M$561,'Raw Data'!$H$2:$H$561,A37,'Raw Data'!$S$2:$S$561,"&lt;&gt;Cancelled",'Raw Data'!$S$2:$S$561,"&lt;&gt;Returned")</f>
        <v>31513.619</v>
      </c>
      <c r="C37" s="9" t="n">
        <f aca="false">SUMIFS('Raw Data'!$O$2:$O$561,'Raw Data'!$H$2:$H$561,A37,'Raw Data'!$S$2:$S$561,"&lt;&gt;Cancelled",'Raw Data'!$S$2:$S$561,"&lt;&gt;Returned")</f>
        <v>14513.619</v>
      </c>
      <c r="D37" s="8" t="n">
        <f aca="false">SUMIFS('Raw Data'!$J$2:$J$561,'Raw Data'!$H$2:$H$561,A37,'Raw Data'!$S$2:$S$561,"&lt;&gt;Cancelled",'Raw Data'!$S$2:$S$561,"&lt;&gt;Returned")</f>
        <v>34</v>
      </c>
    </row>
    <row r="38" customFormat="false" ht="15" hidden="false" customHeight="false" outlineLevel="0" collapsed="false">
      <c r="A38" s="8" t="s">
        <v>69</v>
      </c>
      <c r="B38" s="9" t="n">
        <f aca="false">SUMIFS('Raw Data'!$M$2:$M$561,'Raw Data'!$H$2:$H$561,A38,'Raw Data'!$S$2:$S$561,"&lt;&gt;Cancelled",'Raw Data'!$S$2:$S$561,"&lt;&gt;Returned")</f>
        <v>36524.6965</v>
      </c>
      <c r="C38" s="9" t="n">
        <f aca="false">SUMIFS('Raw Data'!$O$2:$O$561,'Raw Data'!$H$2:$H$561,A38,'Raw Data'!$S$2:$S$561,"&lt;&gt;Cancelled",'Raw Data'!$S$2:$S$561,"&lt;&gt;Returned")</f>
        <v>19374.6965</v>
      </c>
      <c r="D38" s="8" t="n">
        <f aca="false">SUMIFS('Raw Data'!$J$2:$J$561,'Raw Data'!$H$2:$H$561,A38,'Raw Data'!$S$2:$S$561,"&lt;&gt;Cancelled",'Raw Data'!$S$2:$S$561,"&lt;&gt;Returned")</f>
        <v>49</v>
      </c>
    </row>
    <row r="39" customFormat="false" ht="15" hidden="false" customHeight="false" outlineLevel="0" collapsed="false">
      <c r="A39" s="8" t="s">
        <v>70</v>
      </c>
      <c r="B39" s="9" t="n">
        <f aca="false">SUMIFS('Raw Data'!$M$2:$M$561,'Raw Data'!$H$2:$H$561,A39,'Raw Data'!$S$2:$S$561,"&lt;&gt;Cancelled",'Raw Data'!$S$2:$S$561,"&lt;&gt;Returned")</f>
        <v>265553.578</v>
      </c>
      <c r="C39" s="9" t="n">
        <f aca="false">SUMIFS('Raw Data'!$O$2:$O$561,'Raw Data'!$H$2:$H$561,A39,'Raw Data'!$S$2:$S$561,"&lt;&gt;Cancelled",'Raw Data'!$S$2:$S$561,"&lt;&gt;Returned")</f>
        <v>104953.578</v>
      </c>
      <c r="D39" s="8" t="n">
        <f aca="false">SUMIFS('Raw Data'!$J$2:$J$561,'Raw Data'!$H$2:$H$561,A39,'Raw Data'!$S$2:$S$561,"&lt;&gt;Cancelled",'Raw Data'!$S$2:$S$561,"&lt;&gt;Returned")</f>
        <v>73</v>
      </c>
    </row>
    <row r="40" customFormat="false" ht="15" hidden="false" customHeight="false" outlineLevel="0" collapsed="false">
      <c r="A40" s="8" t="s">
        <v>71</v>
      </c>
      <c r="B40" s="9" t="n">
        <f aca="false">SUMIFS('Raw Data'!$M$2:$M$561,'Raw Data'!$H$2:$H$561,A40,'Raw Data'!$S$2:$S$561,"&lt;&gt;Cancelled",'Raw Data'!$S$2:$S$561,"&lt;&gt;Returned")</f>
        <v>45743.0675</v>
      </c>
      <c r="C40" s="9" t="n">
        <f aca="false">SUMIFS('Raw Data'!$O$2:$O$561,'Raw Data'!$H$2:$H$561,A40,'Raw Data'!$S$2:$S$561,"&lt;&gt;Cancelled",'Raw Data'!$S$2:$S$561,"&lt;&gt;Returned")</f>
        <v>21443.0675</v>
      </c>
      <c r="D40" s="8" t="n">
        <f aca="false">SUMIFS('Raw Data'!$J$2:$J$561,'Raw Data'!$H$2:$H$561,A40,'Raw Data'!$S$2:$S$561,"&lt;&gt;Cancelled",'Raw Data'!$S$2:$S$561,"&lt;&gt;Returned")</f>
        <v>54</v>
      </c>
    </row>
    <row r="41" customFormat="false" ht="15" hidden="false" customHeight="false" outlineLevel="0" collapsed="false">
      <c r="A41" s="8" t="s">
        <v>72</v>
      </c>
      <c r="B41" s="9" t="n">
        <f aca="false">SUMIFS('Raw Data'!$M$2:$M$561,'Raw Data'!$H$2:$H$561,A41,'Raw Data'!$S$2:$S$561,"&lt;&gt;Cancelled",'Raw Data'!$S$2:$S$561,"&lt;&gt;Returned")</f>
        <v>257711.2415</v>
      </c>
      <c r="C41" s="9" t="n">
        <f aca="false">SUMIFS('Raw Data'!$O$2:$O$561,'Raw Data'!$H$2:$H$561,A41,'Raw Data'!$S$2:$S$561,"&lt;&gt;Cancelled",'Raw Data'!$S$2:$S$561,"&lt;&gt;Returned")</f>
        <v>99111.2415</v>
      </c>
      <c r="D41" s="8" t="n">
        <f aca="false">SUMIFS('Raw Data'!$J$2:$J$561,'Raw Data'!$H$2:$H$561,A41,'Raw Data'!$S$2:$S$561,"&lt;&gt;Cancelled",'Raw Data'!$S$2:$S$561,"&lt;&gt;Returned")</f>
        <v>61</v>
      </c>
    </row>
    <row r="42" customFormat="false" ht="15" hidden="false" customHeight="false" outlineLevel="0" collapsed="false">
      <c r="A42" s="8" t="s">
        <v>73</v>
      </c>
      <c r="B42" s="9" t="n">
        <f aca="false">SUMIFS('Raw Data'!$M$2:$M$561,'Raw Data'!$H$2:$H$561,A42,'Raw Data'!$S$2:$S$561,"&lt;&gt;Cancelled",'Raw Data'!$S$2:$S$561,"&lt;&gt;Returned")</f>
        <v>71980.6</v>
      </c>
      <c r="C42" s="9" t="n">
        <f aca="false">SUMIFS('Raw Data'!$O$2:$O$561,'Raw Data'!$H$2:$H$561,A42,'Raw Data'!$S$2:$S$561,"&lt;&gt;Cancelled",'Raw Data'!$S$2:$S$561,"&lt;&gt;Returned")</f>
        <v>30180.6</v>
      </c>
      <c r="D42" s="8" t="n">
        <f aca="false">SUMIFS('Raw Data'!$J$2:$J$561,'Raw Data'!$H$2:$H$561,A42,'Raw Data'!$S$2:$S$561,"&lt;&gt;Cancelled",'Raw Data'!$S$2:$S$561,"&lt;&gt;Returned")</f>
        <v>38</v>
      </c>
    </row>
    <row r="43" customFormat="false" ht="15" hidden="false" customHeight="false" outlineLevel="0" collapsed="false">
      <c r="A43" s="8" t="s">
        <v>74</v>
      </c>
      <c r="B43" s="9" t="n">
        <f aca="false">SUMIFS('Raw Data'!$M$2:$M$561,'Raw Data'!$H$2:$H$561,A43,'Raw Data'!$S$2:$S$561,"&lt;&gt;Cancelled",'Raw Data'!$S$2:$S$561,"&lt;&gt;Returned")</f>
        <v>259598.324</v>
      </c>
      <c r="C43" s="9" t="n">
        <f aca="false">SUMIFS('Raw Data'!$O$2:$O$561,'Raw Data'!$H$2:$H$561,A43,'Raw Data'!$S$2:$S$561,"&lt;&gt;Cancelled",'Raw Data'!$S$2:$S$561,"&lt;&gt;Returned")</f>
        <v>92398.324</v>
      </c>
      <c r="D43" s="8" t="n">
        <f aca="false">SUMIFS('Raw Data'!$J$2:$J$561,'Raw Data'!$H$2:$H$561,A43,'Raw Data'!$S$2:$S$561,"&lt;&gt;Cancelled",'Raw Data'!$S$2:$S$561,"&lt;&gt;Returned")</f>
        <v>44</v>
      </c>
    </row>
    <row r="44" customFormat="false" ht="15" hidden="false" customHeight="false" outlineLevel="0" collapsed="false">
      <c r="A44" s="8" t="s">
        <v>75</v>
      </c>
      <c r="B44" s="9" t="n">
        <f aca="false">SUMIFS('Raw Data'!$M$2:$M$561,'Raw Data'!$H$2:$H$561,A44,'Raw Data'!$S$2:$S$561,"&lt;&gt;Cancelled",'Raw Data'!$S$2:$S$561,"&lt;&gt;Returned")</f>
        <v>280747.1715</v>
      </c>
      <c r="C44" s="9" t="n">
        <f aca="false">SUMIFS('Raw Data'!$O$2:$O$561,'Raw Data'!$H$2:$H$561,A44,'Raw Data'!$S$2:$S$561,"&lt;&gt;Cancelled",'Raw Data'!$S$2:$S$561,"&lt;&gt;Returned")</f>
        <v>105947.1715</v>
      </c>
      <c r="D44" s="8" t="n">
        <f aca="false">SUMIFS('Raw Data'!$J$2:$J$561,'Raw Data'!$H$2:$H$561,A44,'Raw Data'!$S$2:$S$561,"&lt;&gt;Cancelled",'Raw Data'!$S$2:$S$561,"&lt;&gt;Returned")</f>
        <v>92</v>
      </c>
    </row>
    <row r="45" customFormat="false" ht="15" hidden="false" customHeight="false" outlineLevel="0" collapsed="false">
      <c r="A45" s="8" t="s">
        <v>76</v>
      </c>
      <c r="B45" s="9" t="n">
        <f aca="false">SUMIFS('Raw Data'!$M$2:$M$561,'Raw Data'!$H$2:$H$561,A45,'Raw Data'!$S$2:$S$561,"&lt;&gt;Cancelled",'Raw Data'!$S$2:$S$561,"&lt;&gt;Returned")</f>
        <v>507384.059</v>
      </c>
      <c r="C45" s="9" t="n">
        <f aca="false">SUMIFS('Raw Data'!$O$2:$O$561,'Raw Data'!$H$2:$H$561,A45,'Raw Data'!$S$2:$S$561,"&lt;&gt;Cancelled",'Raw Data'!$S$2:$S$561,"&lt;&gt;Returned")</f>
        <v>204984.059</v>
      </c>
      <c r="D45" s="8" t="n">
        <f aca="false">SUMIFS('Raw Data'!$J$2:$J$561,'Raw Data'!$H$2:$H$561,A45,'Raw Data'!$S$2:$S$561,"&lt;&gt;Cancelled",'Raw Data'!$S$2:$S$561,"&lt;&gt;Returned")</f>
        <v>72</v>
      </c>
    </row>
    <row r="46" customFormat="false" ht="15" hidden="false" customHeight="false" outlineLevel="0" collapsed="false">
      <c r="A46" s="8" t="s">
        <v>77</v>
      </c>
      <c r="B46" s="9" t="n">
        <f aca="false">SUMIFS('Raw Data'!$M$2:$M$561,'Raw Data'!$H$2:$H$561,A46,'Raw Data'!$S$2:$S$561,"&lt;&gt;Cancelled",'Raw Data'!$S$2:$S$561,"&lt;&gt;Returned")</f>
        <v>225879.8535</v>
      </c>
      <c r="C46" s="9" t="n">
        <f aca="false">SUMIFS('Raw Data'!$O$2:$O$561,'Raw Data'!$H$2:$H$561,A46,'Raw Data'!$S$2:$S$561,"&lt;&gt;Cancelled",'Raw Data'!$S$2:$S$561,"&lt;&gt;Returned")</f>
        <v>89479.8535</v>
      </c>
      <c r="D46" s="8" t="n">
        <f aca="false">SUMIFS('Raw Data'!$J$2:$J$561,'Raw Data'!$H$2:$H$561,A46,'Raw Data'!$S$2:$S$561,"&lt;&gt;Cancelled",'Raw Data'!$S$2:$S$561,"&lt;&gt;Returned")</f>
        <v>44</v>
      </c>
    </row>
    <row r="49" customFormat="false" ht="15" hidden="false" customHeight="false" outlineLevel="0" collapsed="false">
      <c r="A49" s="3" t="s">
        <v>1131</v>
      </c>
      <c r="B49" s="3"/>
      <c r="C49" s="3"/>
      <c r="D49" s="3"/>
    </row>
    <row r="50" customFormat="false" ht="15" hidden="false" customHeight="false" outlineLevel="0" collapsed="false">
      <c r="A50" s="7" t="s">
        <v>110</v>
      </c>
      <c r="B50" s="7" t="s">
        <v>114</v>
      </c>
      <c r="C50" s="7" t="s">
        <v>86</v>
      </c>
      <c r="D50" s="7" t="s">
        <v>87</v>
      </c>
    </row>
    <row r="51" customFormat="false" ht="15" hidden="false" customHeight="false" outlineLevel="0" collapsed="false">
      <c r="A51" s="8" t="s">
        <v>209</v>
      </c>
      <c r="B51" s="9" t="n">
        <f aca="false">SUMIFS('Raw Data'!$M$2:$M$561,'Raw Data'!$G$2:$G$561,A51,'Raw Data'!$S$2:$S$561,"&lt;&gt;Cancelled",'Raw Data'!$S$2:$S$561,"&lt;&gt;Returned")</f>
        <v>444261.0975</v>
      </c>
      <c r="C51" s="9" t="n">
        <f aca="false">SUMIFS('Raw Data'!$Q$2:$Q$561,'Raw Data'!$G$2:$G$561,A51,'Raw Data'!$S$2:$S$561,"&lt;&gt;Cancelled",'Raw Data'!$S$2:$S$561,"&lt;&gt;Returned")</f>
        <v>151337.058425</v>
      </c>
      <c r="D51" s="8" t="n">
        <f aca="false">COUNTIFS('Raw Data'!$G$2:$G$561,A51,'Raw Data'!$S$2:$S$561,"&lt;&gt;Cancelled",'Raw Data'!$S$2:$S$561,"&lt;&gt;Returned")</f>
        <v>61</v>
      </c>
    </row>
    <row r="52" customFormat="false" ht="15" hidden="false" customHeight="false" outlineLevel="0" collapsed="false">
      <c r="A52" s="8" t="s">
        <v>123</v>
      </c>
      <c r="B52" s="9" t="n">
        <f aca="false">SUMIFS('Raw Data'!$M$2:$M$561,'Raw Data'!$G$2:$G$561,A52,'Raw Data'!$S$2:$S$561,"&lt;&gt;Cancelled",'Raw Data'!$S$2:$S$561,"&lt;&gt;Returned")</f>
        <v>358342.764</v>
      </c>
      <c r="C52" s="9" t="n">
        <f aca="false">SUMIFS('Raw Data'!$Q$2:$Q$561,'Raw Data'!$G$2:$G$561,A52,'Raw Data'!$S$2:$S$561,"&lt;&gt;Cancelled",'Raw Data'!$S$2:$S$561,"&lt;&gt;Returned")</f>
        <v>121710.142045</v>
      </c>
      <c r="D52" s="8" t="n">
        <f aca="false">COUNTIFS('Raw Data'!$G$2:$G$561,A52,'Raw Data'!$S$2:$S$561,"&lt;&gt;Cancelled",'Raw Data'!$S$2:$S$561,"&lt;&gt;Returned")</f>
        <v>54</v>
      </c>
    </row>
    <row r="53" customFormat="false" ht="15" hidden="false" customHeight="false" outlineLevel="0" collapsed="false">
      <c r="A53" s="8" t="s">
        <v>170</v>
      </c>
      <c r="B53" s="9" t="n">
        <f aca="false">SUMIFS('Raw Data'!$M$2:$M$561,'Raw Data'!$G$2:$G$561,A53,'Raw Data'!$S$2:$S$561,"&lt;&gt;Cancelled",'Raw Data'!$S$2:$S$561,"&lt;&gt;Returned")</f>
        <v>395378.947</v>
      </c>
      <c r="C53" s="9" t="n">
        <f aca="false">SUMIFS('Raw Data'!$Q$2:$Q$561,'Raw Data'!$G$2:$G$561,A53,'Raw Data'!$S$2:$S$561,"&lt;&gt;Cancelled",'Raw Data'!$S$2:$S$561,"&lt;&gt;Returned")</f>
        <v>133433.2348975</v>
      </c>
      <c r="D53" s="8" t="n">
        <f aca="false">COUNTIFS('Raw Data'!$G$2:$G$561,A53,'Raw Data'!$S$2:$S$561,"&lt;&gt;Cancelled",'Raw Data'!$S$2:$S$561,"&lt;&gt;Returned")</f>
        <v>61</v>
      </c>
    </row>
    <row r="54" customFormat="false" ht="15" hidden="false" customHeight="false" outlineLevel="0" collapsed="false">
      <c r="A54" s="8" t="s">
        <v>141</v>
      </c>
      <c r="B54" s="9" t="n">
        <f aca="false">SUMIFS('Raw Data'!$M$2:$M$561,'Raw Data'!$G$2:$G$561,A54,'Raw Data'!$S$2:$S$561,"&lt;&gt;Cancelled",'Raw Data'!$S$2:$S$561,"&lt;&gt;Returned")</f>
        <v>452782.066</v>
      </c>
      <c r="C54" s="9" t="n">
        <f aca="false">SUMIFS('Raw Data'!$Q$2:$Q$561,'Raw Data'!$G$2:$G$561,A54,'Raw Data'!$S$2:$S$561,"&lt;&gt;Cancelled",'Raw Data'!$S$2:$S$561,"&lt;&gt;Returned")</f>
        <v>147665.485675</v>
      </c>
      <c r="D54" s="8" t="n">
        <f aca="false">COUNTIFS('Raw Data'!$G$2:$G$561,A54,'Raw Data'!$S$2:$S$561,"&lt;&gt;Cancelled",'Raw Data'!$S$2:$S$561,"&lt;&gt;Returned")</f>
        <v>63</v>
      </c>
    </row>
    <row r="55" customFormat="false" ht="15" hidden="false" customHeight="false" outlineLevel="0" collapsed="false">
      <c r="A55" s="8" t="s">
        <v>147</v>
      </c>
      <c r="B55" s="9" t="n">
        <f aca="false">SUMIFS('Raw Data'!$M$2:$M$561,'Raw Data'!$G$2:$G$561,A55,'Raw Data'!$S$2:$S$561,"&lt;&gt;Cancelled",'Raw Data'!$S$2:$S$561,"&lt;&gt;Returned")</f>
        <v>422272.84</v>
      </c>
      <c r="C55" s="9" t="n">
        <f aca="false">SUMIFS('Raw Data'!$Q$2:$Q$561,'Raw Data'!$G$2:$G$561,A55,'Raw Data'!$S$2:$S$561,"&lt;&gt;Cancelled",'Raw Data'!$S$2:$S$561,"&lt;&gt;Returned")</f>
        <v>133658.71871</v>
      </c>
      <c r="D55" s="8" t="n">
        <f aca="false">COUNTIFS('Raw Data'!$G$2:$G$561,A55,'Raw Data'!$S$2:$S$561,"&lt;&gt;Cancelled",'Raw Data'!$S$2:$S$561,"&lt;&gt;Returned")</f>
        <v>58</v>
      </c>
    </row>
    <row r="56" customFormat="false" ht="15" hidden="false" customHeight="false" outlineLevel="0" collapsed="false">
      <c r="A56" s="8" t="s">
        <v>175</v>
      </c>
      <c r="B56" s="9" t="n">
        <f aca="false">SUMIFS('Raw Data'!$M$2:$M$561,'Raw Data'!$G$2:$G$561,A56,'Raw Data'!$S$2:$S$561,"&lt;&gt;Cancelled",'Raw Data'!$S$2:$S$561,"&lt;&gt;Returned")</f>
        <v>317498.926</v>
      </c>
      <c r="C56" s="9" t="n">
        <f aca="false">SUMIFS('Raw Data'!$Q$2:$Q$561,'Raw Data'!$G$2:$G$561,A56,'Raw Data'!$S$2:$S$561,"&lt;&gt;Cancelled",'Raw Data'!$S$2:$S$561,"&lt;&gt;Returned")</f>
        <v>98292.577035</v>
      </c>
      <c r="D56" s="8" t="n">
        <f aca="false">COUNTIFS('Raw Data'!$G$2:$G$561,A56,'Raw Data'!$S$2:$S$561,"&lt;&gt;Cancelled",'Raw Data'!$S$2:$S$561,"&lt;&gt;Returned")</f>
        <v>56</v>
      </c>
    </row>
    <row r="57" customFormat="false" ht="15" hidden="false" customHeight="false" outlineLevel="0" collapsed="false">
      <c r="A57" s="8" t="s">
        <v>161</v>
      </c>
      <c r="B57" s="9" t="n">
        <f aca="false">SUMIFS('Raw Data'!$M$2:$M$561,'Raw Data'!$G$2:$G$561,A57,'Raw Data'!$S$2:$S$561,"&lt;&gt;Cancelled",'Raw Data'!$S$2:$S$561,"&lt;&gt;Returned")</f>
        <v>484478.1785</v>
      </c>
      <c r="C57" s="9" t="n">
        <f aca="false">SUMIFS('Raw Data'!$Q$2:$Q$561,'Raw Data'!$G$2:$G$561,A57,'Raw Data'!$S$2:$S$561,"&lt;&gt;Cancelled",'Raw Data'!$S$2:$S$561,"&lt;&gt;Returned")</f>
        <v>153560.25474</v>
      </c>
      <c r="D57" s="8" t="n">
        <f aca="false">COUNTIFS('Raw Data'!$G$2:$G$561,A57,'Raw Data'!$S$2:$S$561,"&lt;&gt;Cancelled",'Raw Data'!$S$2:$S$561,"&lt;&gt;Returned")</f>
        <v>69</v>
      </c>
    </row>
    <row r="58" customFormat="false" ht="15" hidden="false" customHeight="false" outlineLevel="0" collapsed="false">
      <c r="A58" s="8" t="s">
        <v>134</v>
      </c>
      <c r="B58" s="9" t="n">
        <f aca="false">SUMIFS('Raw Data'!$M$2:$M$561,'Raw Data'!$G$2:$G$561,A58,'Raw Data'!$S$2:$S$561,"&lt;&gt;Cancelled",'Raw Data'!$S$2:$S$561,"&lt;&gt;Returned")</f>
        <v>407700.1015</v>
      </c>
      <c r="C58" s="9" t="n">
        <f aca="false">SUMIFS('Raw Data'!$Q$2:$Q$561,'Raw Data'!$G$2:$G$561,A58,'Raw Data'!$S$2:$S$561,"&lt;&gt;Cancelled",'Raw Data'!$S$2:$S$561,"&lt;&gt;Returned")</f>
        <v>133673.979425</v>
      </c>
      <c r="D58" s="8" t="n">
        <f aca="false">COUNTIFS('Raw Data'!$G$2:$G$561,A58,'Raw Data'!$S$2:$S$561,"&lt;&gt;Cancelled",'Raw Data'!$S$2:$S$561,"&lt;&gt;Returned")</f>
        <v>62</v>
      </c>
    </row>
    <row r="61" customFormat="false" ht="15" hidden="false" customHeight="false" outlineLevel="0" collapsed="false">
      <c r="A61" s="3" t="s">
        <v>1132</v>
      </c>
      <c r="B61" s="3"/>
      <c r="C61" s="3"/>
    </row>
    <row r="62" customFormat="false" ht="15" hidden="false" customHeight="false" outlineLevel="0" collapsed="false">
      <c r="A62" s="7" t="s">
        <v>116</v>
      </c>
      <c r="B62" s="7" t="s">
        <v>87</v>
      </c>
      <c r="C62" s="7" t="s">
        <v>82</v>
      </c>
    </row>
    <row r="63" customFormat="false" ht="15" hidden="false" customHeight="false" outlineLevel="0" collapsed="false">
      <c r="A63" s="8" t="s">
        <v>243</v>
      </c>
      <c r="B63" s="8" t="n">
        <f aca="false">COUNTIFS('Raw Data'!$R$2:$R$561,A63,'Raw Data'!$S$2:$S$561,"&lt;&gt;Cancelled",'Raw Data'!$S$2:$S$561,"&lt;&gt;Returned")</f>
        <v>68</v>
      </c>
      <c r="C63" s="9" t="n">
        <f aca="false">SUMIFS('Raw Data'!$M$2:$M$561,'Raw Data'!$R$2:$R$561,A63,'Raw Data'!$S$2:$S$561,"&lt;&gt;Cancelled",'Raw Data'!$S$2:$S$561,"&lt;&gt;Returned")</f>
        <v>466321.858</v>
      </c>
    </row>
    <row r="64" customFormat="false" ht="15" hidden="false" customHeight="false" outlineLevel="0" collapsed="false">
      <c r="A64" s="8" t="s">
        <v>124</v>
      </c>
      <c r="B64" s="8" t="n">
        <f aca="false">COUNTIFS('Raw Data'!$R$2:$R$561,A64,'Raw Data'!$S$2:$S$561,"&lt;&gt;Cancelled",'Raw Data'!$S$2:$S$561,"&lt;&gt;Returned")</f>
        <v>113</v>
      </c>
      <c r="C64" s="9" t="n">
        <f aca="false">SUMIFS('Raw Data'!$M$2:$M$561,'Raw Data'!$R$2:$R$561,A64,'Raw Data'!$S$2:$S$561,"&lt;&gt;Cancelled",'Raw Data'!$S$2:$S$561,"&lt;&gt;Returned")</f>
        <v>910691.9725</v>
      </c>
    </row>
    <row r="65" customFormat="false" ht="15" hidden="false" customHeight="false" outlineLevel="0" collapsed="false">
      <c r="A65" s="8" t="s">
        <v>135</v>
      </c>
      <c r="B65" s="8" t="n">
        <f aca="false">COUNTIFS('Raw Data'!$R$2:$R$561,A65,'Raw Data'!$S$2:$S$561,"&lt;&gt;Cancelled",'Raw Data'!$S$2:$S$561,"&lt;&gt;Returned")</f>
        <v>96</v>
      </c>
      <c r="C65" s="9" t="n">
        <f aca="false">SUMIFS('Raw Data'!$M$2:$M$561,'Raw Data'!$R$2:$R$561,A65,'Raw Data'!$S$2:$S$561,"&lt;&gt;Cancelled",'Raw Data'!$S$2:$S$561,"&lt;&gt;Returned")</f>
        <v>577762.6635</v>
      </c>
    </row>
    <row r="66" customFormat="false" ht="15" hidden="false" customHeight="false" outlineLevel="0" collapsed="false">
      <c r="A66" s="8" t="s">
        <v>165</v>
      </c>
      <c r="B66" s="8" t="n">
        <f aca="false">COUNTIFS('Raw Data'!$R$2:$R$561,A66,'Raw Data'!$S$2:$S$561,"&lt;&gt;Cancelled",'Raw Data'!$S$2:$S$561,"&lt;&gt;Returned")</f>
        <v>51</v>
      </c>
      <c r="C66" s="9" t="n">
        <f aca="false">SUMIFS('Raw Data'!$M$2:$M$561,'Raw Data'!$R$2:$R$561,A66,'Raw Data'!$S$2:$S$561,"&lt;&gt;Cancelled",'Raw Data'!$S$2:$S$561,"&lt;&gt;Returned")</f>
        <v>330455.5105</v>
      </c>
    </row>
    <row r="67" customFormat="false" ht="15" hidden="false" customHeight="false" outlineLevel="0" collapsed="false">
      <c r="A67" s="8" t="s">
        <v>130</v>
      </c>
      <c r="B67" s="8" t="n">
        <f aca="false">COUNTIFS('Raw Data'!$R$2:$R$561,A67,'Raw Data'!$S$2:$S$561,"&lt;&gt;Cancelled",'Raw Data'!$S$2:$S$561,"&lt;&gt;Returned")</f>
        <v>156</v>
      </c>
      <c r="C67" s="9" t="n">
        <f aca="false">SUMIFS('Raw Data'!$M$2:$M$561,'Raw Data'!$R$2:$R$561,A67,'Raw Data'!$S$2:$S$561,"&lt;&gt;Cancelled",'Raw Data'!$S$2:$S$561,"&lt;&gt;Returned")</f>
        <v>997482.916</v>
      </c>
    </row>
    <row r="70" customFormat="false" ht="15" hidden="false" customHeight="false" outlineLevel="0" collapsed="false">
      <c r="A70" s="3" t="s">
        <v>1133</v>
      </c>
      <c r="B70" s="3"/>
      <c r="C70" s="3"/>
    </row>
    <row r="71" customFormat="false" ht="26.85" hidden="false" customHeight="false" outlineLevel="0" collapsed="false">
      <c r="A71" s="7" t="s">
        <v>117</v>
      </c>
      <c r="B71" s="7" t="s">
        <v>87</v>
      </c>
      <c r="C71" s="7" t="s">
        <v>1134</v>
      </c>
    </row>
    <row r="72" customFormat="false" ht="15" hidden="false" customHeight="false" outlineLevel="0" collapsed="false">
      <c r="A72" s="8" t="s">
        <v>210</v>
      </c>
      <c r="B72" s="8" t="n">
        <f aca="false">COUNTIFS('Raw Data'!$S$2:$S$561,A72)</f>
        <v>42</v>
      </c>
      <c r="C72" s="10" t="n">
        <f aca="false">IFERROR(B72/COUNTA('Raw Data'!$A$2:$A$561),0)</f>
        <v>0.075</v>
      </c>
    </row>
    <row r="73" customFormat="false" ht="15" hidden="false" customHeight="false" outlineLevel="0" collapsed="false">
      <c r="A73" s="8" t="s">
        <v>125</v>
      </c>
      <c r="B73" s="8" t="n">
        <f aca="false">COUNTIFS('Raw Data'!$S$2:$S$561,A73)</f>
        <v>456</v>
      </c>
      <c r="C73" s="10" t="n">
        <f aca="false">IFERROR(B73/COUNTA('Raw Data'!$A$2:$A$561),0)</f>
        <v>0.814285714285714</v>
      </c>
    </row>
    <row r="74" customFormat="false" ht="15" hidden="false" customHeight="false" outlineLevel="0" collapsed="false">
      <c r="A74" s="8" t="s">
        <v>148</v>
      </c>
      <c r="B74" s="8" t="n">
        <f aca="false">COUNTIFS('Raw Data'!$S$2:$S$561,A74)</f>
        <v>28</v>
      </c>
      <c r="C74" s="10" t="n">
        <f aca="false">IFERROR(B74/COUNTA('Raw Data'!$A$2:$A$561),0)</f>
        <v>0.05</v>
      </c>
    </row>
    <row r="75" customFormat="false" ht="15" hidden="false" customHeight="false" outlineLevel="0" collapsed="false">
      <c r="A75" s="8" t="s">
        <v>205</v>
      </c>
      <c r="B75" s="8" t="n">
        <f aca="false">COUNTIFS('Raw Data'!$S$2:$S$561,A75)</f>
        <v>34</v>
      </c>
      <c r="C75" s="10" t="n">
        <f aca="false">IFERROR(B75/COUNTA('Raw Data'!$A$2:$A$561),0)</f>
        <v>0.0607142857142857</v>
      </c>
    </row>
    <row r="78" customFormat="false" ht="15" hidden="false" customHeight="false" outlineLevel="0" collapsed="false">
      <c r="A78" s="3" t="s">
        <v>1135</v>
      </c>
      <c r="B78" s="3"/>
      <c r="C78" s="3"/>
      <c r="D78" s="3"/>
    </row>
    <row r="79" customFormat="false" ht="15" hidden="false" customHeight="false" outlineLevel="0" collapsed="false">
      <c r="A79" s="7" t="s">
        <v>79</v>
      </c>
      <c r="B79" s="7" t="s">
        <v>114</v>
      </c>
      <c r="C79" s="7" t="s">
        <v>86</v>
      </c>
      <c r="D79" s="7" t="s">
        <v>1136</v>
      </c>
    </row>
    <row r="80" customFormat="false" ht="15" hidden="false" customHeight="false" outlineLevel="0" collapsed="false">
      <c r="A80" s="8" t="str">
        <f aca="false">Calculations!A32</f>
        <v>Aug-25</v>
      </c>
      <c r="B80" s="9" t="n">
        <f aca="false">Calculations!D32</f>
        <v>308354.9085</v>
      </c>
      <c r="C80" s="9" t="n">
        <f aca="false">Calculations!H32</f>
        <v>106206.34853</v>
      </c>
      <c r="D80" s="8" t="n">
        <f aca="false">Calculations!I32</f>
        <v>37</v>
      </c>
    </row>
    <row r="81" customFormat="false" ht="15" hidden="false" customHeight="false" outlineLevel="0" collapsed="false">
      <c r="A81" s="8" t="str">
        <f aca="false">Calculations!A33</f>
        <v>Sep-25</v>
      </c>
      <c r="B81" s="9" t="n">
        <f aca="false">Calculations!D33</f>
        <v>240271.288</v>
      </c>
      <c r="C81" s="9" t="n">
        <f aca="false">Calculations!H33</f>
        <v>77882.078285</v>
      </c>
      <c r="D81" s="8" t="n">
        <f aca="false">Calculations!I33</f>
        <v>38</v>
      </c>
    </row>
    <row r="82" customFormat="false" ht="15" hidden="false" customHeight="false" outlineLevel="0" collapsed="false">
      <c r="A82" s="8" t="str">
        <f aca="false">Calculations!A34</f>
        <v>Oct-25</v>
      </c>
      <c r="B82" s="9" t="n">
        <f aca="false">Calculations!D34</f>
        <v>285740.4875</v>
      </c>
      <c r="C82" s="9" t="n">
        <f aca="false">Calculations!H34</f>
        <v>93128.34108</v>
      </c>
      <c r="D82" s="8" t="n">
        <f aca="false">Calculations!I34</f>
        <v>46</v>
      </c>
    </row>
    <row r="83" customFormat="false" ht="15" hidden="false" customHeight="false" outlineLevel="0" collapsed="false">
      <c r="A83" s="8" t="str">
        <f aca="false">Calculations!A35</f>
        <v>Nov-25</v>
      </c>
      <c r="B83" s="9" t="n">
        <f aca="false">Calculations!D35</f>
        <v>194015.8475</v>
      </c>
      <c r="C83" s="9" t="n">
        <f aca="false">Calculations!H35</f>
        <v>61442.6566125</v>
      </c>
      <c r="D83" s="8" t="n">
        <f aca="false">Calculations!I35</f>
        <v>37</v>
      </c>
    </row>
    <row r="84" customFormat="false" ht="15" hidden="false" customHeight="false" outlineLevel="0" collapsed="false">
      <c r="A84" s="8" t="str">
        <f aca="false">Calculations!A36</f>
        <v>Dec-25</v>
      </c>
      <c r="B84" s="9" t="n">
        <f aca="false">Calculations!D36</f>
        <v>211208.905</v>
      </c>
      <c r="C84" s="9" t="n">
        <f aca="false">Calculations!H36</f>
        <v>67890.175595</v>
      </c>
      <c r="D84" s="8" t="n">
        <f aca="false">Calculations!I36</f>
        <v>38</v>
      </c>
    </row>
    <row r="85" customFormat="false" ht="15" hidden="false" customHeight="false" outlineLevel="0" collapsed="false">
      <c r="A85" s="8" t="str">
        <f aca="false">Calculations!A37</f>
        <v>Jan-26</v>
      </c>
      <c r="B85" s="9" t="n">
        <f aca="false">Calculations!D37</f>
        <v>267567.1195</v>
      </c>
      <c r="C85" s="9" t="n">
        <f aca="false">Calculations!H37</f>
        <v>89267.171345</v>
      </c>
      <c r="D85" s="8" t="n">
        <f aca="false">Calculations!I37</f>
        <v>45</v>
      </c>
    </row>
    <row r="86" customFormat="false" ht="15" hidden="false" customHeight="false" outlineLevel="0" collapsed="false">
      <c r="A86" s="8" t="str">
        <f aca="false">Calculations!A38</f>
        <v>Feb-26</v>
      </c>
      <c r="B86" s="9" t="n">
        <f aca="false">Calculations!D38</f>
        <v>261061.4125</v>
      </c>
      <c r="C86" s="9" t="n">
        <f aca="false">Calculations!H38</f>
        <v>86712.917255</v>
      </c>
      <c r="D86" s="8" t="n">
        <f aca="false">Calculations!I38</f>
        <v>38</v>
      </c>
    </row>
    <row r="87" customFormat="false" ht="15" hidden="false" customHeight="false" outlineLevel="0" collapsed="false">
      <c r="A87" s="8" t="str">
        <f aca="false">Calculations!A39</f>
        <v>Mar-26</v>
      </c>
      <c r="B87" s="9" t="n">
        <f aca="false">Calculations!D39</f>
        <v>293993.194</v>
      </c>
      <c r="C87" s="9" t="n">
        <f aca="false">Calculations!H39</f>
        <v>91779.8447</v>
      </c>
      <c r="D87" s="8" t="n">
        <f aca="false">Calculations!I39</f>
        <v>43</v>
      </c>
    </row>
    <row r="88" customFormat="false" ht="15" hidden="false" customHeight="false" outlineLevel="0" collapsed="false">
      <c r="A88" s="8" t="str">
        <f aca="false">Calculations!A40</f>
        <v>Apr-26</v>
      </c>
      <c r="B88" s="9" t="n">
        <f aca="false">Calculations!D40</f>
        <v>384240.2555</v>
      </c>
      <c r="C88" s="9" t="n">
        <f aca="false">Calculations!H40</f>
        <v>124375.50397</v>
      </c>
      <c r="D88" s="8" t="n">
        <f aca="false">Calculations!I40</f>
        <v>44</v>
      </c>
    </row>
    <row r="89" customFormat="false" ht="15" hidden="false" customHeight="false" outlineLevel="0" collapsed="false">
      <c r="A89" s="8" t="str">
        <f aca="false">Calculations!A41</f>
        <v>May-26</v>
      </c>
      <c r="B89" s="9" t="n">
        <f aca="false">Calculations!D41</f>
        <v>248761.617</v>
      </c>
      <c r="C89" s="9" t="n">
        <f aca="false">Calculations!H41</f>
        <v>80709.52829</v>
      </c>
      <c r="D89" s="8" t="n">
        <f aca="false">Calculations!I41</f>
        <v>40</v>
      </c>
    </row>
    <row r="90" customFormat="false" ht="15" hidden="false" customHeight="false" outlineLevel="0" collapsed="false">
      <c r="A90" s="8" t="str">
        <f aca="false">Calculations!A42</f>
        <v>Jun-26</v>
      </c>
      <c r="B90" s="9" t="n">
        <f aca="false">Calculations!D42</f>
        <v>326130.3335</v>
      </c>
      <c r="C90" s="9" t="n">
        <f aca="false">Calculations!H42</f>
        <v>109057.91067</v>
      </c>
      <c r="D90" s="8" t="n">
        <f aca="false">Calculations!I42</f>
        <v>34</v>
      </c>
    </row>
    <row r="91" customFormat="false" ht="15" hidden="false" customHeight="false" outlineLevel="0" collapsed="false">
      <c r="A91" s="8" t="str">
        <f aca="false">Calculations!A43</f>
        <v>Jul-26</v>
      </c>
      <c r="B91" s="9" t="n">
        <f aca="false">Calculations!D43</f>
        <v>261369.552</v>
      </c>
      <c r="C91" s="9" t="n">
        <f aca="false">Calculations!H43</f>
        <v>84878.97462</v>
      </c>
      <c r="D91" s="8" t="n">
        <f aca="false">Calculations!I43</f>
        <v>44</v>
      </c>
    </row>
    <row r="94" customFormat="false" ht="15" hidden="false" customHeight="false" outlineLevel="0" collapsed="false">
      <c r="A94" s="5" t="s">
        <v>1137</v>
      </c>
    </row>
    <row r="95" customFormat="false" ht="79.85" hidden="false" customHeight="false" outlineLevel="0" collapsed="false">
      <c r="A95" s="6" t="s">
        <v>1138</v>
      </c>
    </row>
    <row r="96" customFormat="false" ht="23.85" hidden="false" customHeight="false" outlineLevel="0" collapsed="false">
      <c r="A96" s="6" t="s">
        <v>1139</v>
      </c>
    </row>
    <row r="97" customFormat="false" ht="23.85" hidden="false" customHeight="false" outlineLevel="0" collapsed="false">
      <c r="A97" s="6" t="s">
        <v>1140</v>
      </c>
    </row>
    <row r="98" customFormat="false" ht="46.25" hidden="false" customHeight="false" outlineLevel="0" collapsed="false">
      <c r="A98" s="6" t="s">
        <v>1141</v>
      </c>
    </row>
    <row r="99" customFormat="false" ht="35.05" hidden="false" customHeight="false" outlineLevel="0" collapsed="false">
      <c r="A99" s="6" t="s">
        <v>1142</v>
      </c>
    </row>
    <row r="100" customFormat="false" ht="35.05" hidden="false" customHeight="false" outlineLevel="0" collapsed="false">
      <c r="A100" s="6" t="s">
        <v>1143</v>
      </c>
    </row>
    <row r="104" customFormat="false" ht="15" hidden="false" customHeight="false" outlineLevel="0" collapsed="false">
      <c r="A104" s="3" t="s">
        <v>1144</v>
      </c>
      <c r="B104" s="3"/>
    </row>
    <row r="105" customFormat="false" ht="15" hidden="false" customHeight="false" outlineLevel="0" collapsed="false">
      <c r="A105" s="7" t="s">
        <v>46</v>
      </c>
      <c r="B105" s="7" t="s">
        <v>84</v>
      </c>
    </row>
    <row r="106" customFormat="false" ht="15" hidden="false" customHeight="false" outlineLevel="0" collapsed="false">
      <c r="A106" s="8" t="str">
        <f aca="false">IFERROR(INDEX($A$25:$A$46,MATCH(B106,$C$25:$C$46,0)),"")</f>
        <v>ViewClear 24-inch Monitor</v>
      </c>
      <c r="B106" s="9" t="n">
        <f aca="false">LARGE($C$25:$C$46,1)</f>
        <v>283343.2815</v>
      </c>
    </row>
    <row r="107" customFormat="false" ht="15" hidden="false" customHeight="false" outlineLevel="0" collapsed="false">
      <c r="A107" s="8" t="str">
        <f aca="false">IFERROR(INDEX($A$25:$A$46,MATCH(B107,$C$25:$C$46,0)),"")</f>
        <v>ActionCam Mini 4K</v>
      </c>
      <c r="B107" s="9" t="n">
        <f aca="false">LARGE($C$25:$C$46,2)</f>
        <v>204984.059</v>
      </c>
    </row>
    <row r="108" customFormat="false" ht="15" hidden="false" customHeight="false" outlineLevel="0" collapsed="false">
      <c r="A108" s="8" t="str">
        <f aca="false">IFERROR(INDEX($A$25:$A$46,MATCH(B108,$C$25:$C$46,0)),"")</f>
        <v>KidSafe GPS Watch</v>
      </c>
      <c r="B108" s="9" t="n">
        <f aca="false">LARGE($C$25:$C$46,3)</f>
        <v>105947.1715</v>
      </c>
    </row>
    <row r="109" customFormat="false" ht="15" hidden="false" customHeight="false" outlineLevel="0" collapsed="false">
      <c r="A109" s="8" t="str">
        <f aca="false">IFERROR(INDEX($A$25:$A$46,MATCH(B109,$C$25:$C$46,0)),"")</f>
        <v>HomeSecure Wi-Fi Camera</v>
      </c>
      <c r="B109" s="9" t="n">
        <f aca="false">LARGE($C$25:$C$46,4)</f>
        <v>104953.578</v>
      </c>
    </row>
    <row r="110" customFormat="false" ht="15" hidden="false" customHeight="false" outlineLevel="0" collapsed="false">
      <c r="A110" s="8" t="str">
        <f aca="false">IFERROR(INDEX($A$25:$A$46,MATCH(B110,$C$25:$C$46,0)),"")</f>
        <v>VoiceHub Smart Speaker</v>
      </c>
      <c r="B110" s="9" t="n">
        <f aca="false">LARGE($C$25:$C$46,5)</f>
        <v>99111.2415</v>
      </c>
    </row>
    <row r="111" customFormat="false" ht="15" hidden="false" customHeight="false" outlineLevel="0" collapsed="false">
      <c r="A111" s="8" t="str">
        <f aca="false">IFERROR(INDEX($A$25:$A$46,MATCH(B111,$C$25:$C$46,0)),"")</f>
        <v>PulseFit Smartwatch</v>
      </c>
      <c r="B111" s="9" t="n">
        <f aca="false">LARGE($C$25:$C$46,6)</f>
        <v>92398.324</v>
      </c>
    </row>
    <row r="112" customFormat="false" ht="15" hidden="false" customHeight="false" outlineLevel="0" collapsed="false">
      <c r="A112" s="8" t="str">
        <f aca="false">IFERROR(INDEX($A$25:$A$46,MATCH(B112,$C$25:$C$46,0)),"")</f>
        <v>HomeView 360 Camera</v>
      </c>
      <c r="B112" s="9" t="n">
        <f aca="false">LARGE($C$25:$C$46,7)</f>
        <v>89479.8535</v>
      </c>
    </row>
    <row r="113" customFormat="false" ht="15" hidden="false" customHeight="false" outlineLevel="0" collapsed="false">
      <c r="A113" s="8" t="str">
        <f aca="false">IFERROR(INDEX($A$25:$A$46,MATCH(B113,$C$25:$C$46,0)),"")</f>
        <v>TypeMaster Mechanical Keyboard</v>
      </c>
      <c r="B113" s="9" t="n">
        <f aca="false">LARGE($C$25:$C$46,8)</f>
        <v>67725.804</v>
      </c>
    </row>
    <row r="114" customFormat="false" ht="15" hidden="false" customHeight="false" outlineLevel="0" collapsed="false">
      <c r="A114" s="8" t="str">
        <f aca="false">IFERROR(INDEX($A$25:$A$46,MATCH(B114,$C$25:$C$46,0)),"")</f>
        <v>StudioMax Over-Ear Headphones</v>
      </c>
      <c r="B114" s="9" t="n">
        <f aca="false">LARGE($C$25:$C$46,9)</f>
        <v>62787.0145</v>
      </c>
    </row>
    <row r="115" customFormat="false" ht="15" hidden="false" customHeight="false" outlineLevel="0" collapsed="false">
      <c r="A115" s="8" t="str">
        <f aca="false">IFERROR(INDEX($A$25:$A$46,MATCH(B115,$C$25:$C$46,0)),"")</f>
        <v>HubConnect 7-in-1 USB-C Hub</v>
      </c>
      <c r="B115" s="9" t="n">
        <f aca="false">LARGE($C$25:$C$46,10)</f>
        <v>43169.3565</v>
      </c>
    </row>
    <row r="118" customFormat="false" ht="15" hidden="false" customHeight="false" outlineLevel="0" collapsed="false">
      <c r="A118" s="3" t="s">
        <v>1145</v>
      </c>
      <c r="B118" s="3"/>
    </row>
    <row r="119" customFormat="false" ht="26.85" hidden="false" customHeight="false" outlineLevel="0" collapsed="false">
      <c r="A119" s="7" t="s">
        <v>47</v>
      </c>
      <c r="B119" s="7" t="s">
        <v>85</v>
      </c>
    </row>
    <row r="120" customFormat="false" ht="15" hidden="false" customHeight="false" outlineLevel="0" collapsed="false">
      <c r="A120" s="8" t="s">
        <v>51</v>
      </c>
      <c r="B120" s="9" t="n">
        <f aca="false">SUMIFS('Raw Data'!$P$2:$P$561,'Raw Data'!$I$2:$I$561,A120,'Raw Data'!$S$2:$S$561,"&lt;&gt;Cancelled",'Raw Data'!$S$2:$S$561,"&lt;&gt;Returned")</f>
        <v>29487.76605</v>
      </c>
    </row>
    <row r="121" customFormat="false" ht="15" hidden="false" customHeight="false" outlineLevel="0" collapsed="false">
      <c r="A121" s="8" t="s">
        <v>53</v>
      </c>
      <c r="B121" s="9" t="n">
        <f aca="false">SUMIFS('Raw Data'!$P$2:$P$561,'Raw Data'!$I$2:$I$561,A121,'Raw Data'!$S$2:$S$561,"&lt;&gt;Cancelled",'Raw Data'!$S$2:$S$561,"&lt;&gt;Returned")</f>
        <v>8297.4114</v>
      </c>
    </row>
    <row r="122" customFormat="false" ht="15" hidden="false" customHeight="false" outlineLevel="0" collapsed="false">
      <c r="A122" s="8" t="s">
        <v>55</v>
      </c>
      <c r="B122" s="9" t="n">
        <f aca="false">SUMIFS('Raw Data'!$P$2:$P$561,'Raw Data'!$I$2:$I$561,A122,'Raw Data'!$S$2:$S$561,"&lt;&gt;Cancelled",'Raw Data'!$S$2:$S$561,"&lt;&gt;Returned")</f>
        <v>77405.56588</v>
      </c>
    </row>
    <row r="123" customFormat="false" ht="15" hidden="false" customHeight="false" outlineLevel="0" collapsed="false">
      <c r="A123" s="8" t="s">
        <v>57</v>
      </c>
      <c r="B123" s="9" t="n">
        <f aca="false">SUMIFS('Raw Data'!$P$2:$P$561,'Raw Data'!$I$2:$I$561,A123,'Raw Data'!$S$2:$S$561,"&lt;&gt;Cancelled",'Raw Data'!$S$2:$S$561,"&lt;&gt;Returned")</f>
        <v>66608.584185</v>
      </c>
    </row>
    <row r="124" customFormat="false" ht="15" hidden="false" customHeight="false" outlineLevel="0" collapsed="false">
      <c r="A124" s="8" t="s">
        <v>59</v>
      </c>
      <c r="B124" s="9" t="n">
        <f aca="false">SUMIFS('Raw Data'!$P$2:$P$561,'Raw Data'!$I$2:$I$561,A124,'Raw Data'!$S$2:$S$561,"&lt;&gt;Cancelled",'Raw Data'!$S$2:$S$561,"&lt;&gt;Returned")</f>
        <v>55109.348595</v>
      </c>
    </row>
    <row r="125" customFormat="false" ht="15" hidden="false" customHeight="false" outlineLevel="0" collapsed="false">
      <c r="A125" s="8" t="s">
        <v>61</v>
      </c>
      <c r="B125" s="9" t="n">
        <f aca="false">SUMIFS('Raw Data'!$P$2:$P$561,'Raw Data'!$I$2:$I$561,A125,'Raw Data'!$S$2:$S$561,"&lt;&gt;Cancelled",'Raw Data'!$S$2:$S$561,"&lt;&gt;Returned")</f>
        <v>54994.7934375</v>
      </c>
    </row>
  </sheetData>
  <mergeCells count="9">
    <mergeCell ref="A4:D4"/>
    <mergeCell ref="A13:D13"/>
    <mergeCell ref="A23:D23"/>
    <mergeCell ref="A49:D49"/>
    <mergeCell ref="A61:C61"/>
    <mergeCell ref="A70:C70"/>
    <mergeCell ref="A78:D78"/>
    <mergeCell ref="A104:B104"/>
    <mergeCell ref="A118:B1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55"/>
  </cols>
  <sheetData>
    <row r="1" customFormat="false" ht="19.7" hidden="false" customHeight="false" outlineLevel="0" collapsed="false">
      <c r="A1" s="1" t="s">
        <v>36</v>
      </c>
    </row>
    <row r="2" customFormat="false" ht="15" hidden="false" customHeight="false" outlineLevel="0" collapsed="false">
      <c r="A2" s="2" t="s">
        <v>1146</v>
      </c>
    </row>
    <row r="4" customFormat="false" ht="15" hidden="false" customHeight="false" outlineLevel="0" collapsed="false">
      <c r="A4" s="7" t="s">
        <v>1147</v>
      </c>
      <c r="B4" s="7" t="s">
        <v>1148</v>
      </c>
      <c r="C4" s="7" t="s">
        <v>1149</v>
      </c>
    </row>
    <row r="5" customFormat="false" ht="15" hidden="false" customHeight="false" outlineLevel="0" collapsed="false">
      <c r="A5" s="19" t="s">
        <v>82</v>
      </c>
      <c r="B5" s="9" t="n">
        <f aca="false">SUMIFS('Raw Data'!$M$2:$M$561,'Raw Data'!$S$2:$S$561,"&lt;&gt;Cancelled",'Raw Data'!$S$2:$S$561,"&lt;&gt;Returned")</f>
        <v>3282714.9205</v>
      </c>
      <c r="C5" s="8" t="s">
        <v>1150</v>
      </c>
    </row>
    <row r="6" customFormat="false" ht="15" hidden="false" customHeight="false" outlineLevel="0" collapsed="false">
      <c r="A6" s="19" t="s">
        <v>83</v>
      </c>
      <c r="B6" s="9" t="n">
        <f aca="false">SUMIFS('Raw Data'!$N$2:$N$561,'Raw Data'!$S$2:$S$561,"&lt;&gt;Cancelled",'Raw Data'!$S$2:$S$561,"&lt;&gt;Returned")</f>
        <v>1917480</v>
      </c>
      <c r="C6" s="8" t="s">
        <v>1151</v>
      </c>
    </row>
    <row r="7" customFormat="false" ht="15" hidden="false" customHeight="false" outlineLevel="0" collapsed="false">
      <c r="A7" s="19" t="s">
        <v>84</v>
      </c>
      <c r="B7" s="9" t="n">
        <f aca="false">B5-B6</f>
        <v>1365234.9205</v>
      </c>
      <c r="C7" s="8" t="s">
        <v>1152</v>
      </c>
    </row>
    <row r="8" customFormat="false" ht="15" hidden="false" customHeight="false" outlineLevel="0" collapsed="false">
      <c r="A8" s="19" t="s">
        <v>1128</v>
      </c>
      <c r="B8" s="10" t="n">
        <f aca="false">IFERROR(B7/B5,0)</f>
        <v>0.415885921733361</v>
      </c>
      <c r="C8" s="8" t="s">
        <v>1153</v>
      </c>
    </row>
    <row r="9" customFormat="false" ht="15" hidden="false" customHeight="false" outlineLevel="0" collapsed="false">
      <c r="A9" s="19" t="s">
        <v>1154</v>
      </c>
      <c r="B9" s="9" t="n">
        <f aca="false">SUMIFS('Raw Data'!$P$2:$P$561,'Raw Data'!$S$2:$S$561,"&lt;&gt;Cancelled",'Raw Data'!$S$2:$S$561,"&lt;&gt;Returned")</f>
        <v>291903.4695475</v>
      </c>
      <c r="C9" s="8" t="s">
        <v>1155</v>
      </c>
    </row>
    <row r="10" customFormat="false" ht="15" hidden="false" customHeight="false" outlineLevel="0" collapsed="false">
      <c r="A10" s="19" t="s">
        <v>86</v>
      </c>
      <c r="B10" s="9" t="n">
        <f aca="false">B7-B9</f>
        <v>1073331.4509525</v>
      </c>
      <c r="C10" s="8" t="s">
        <v>1156</v>
      </c>
    </row>
    <row r="11" customFormat="false" ht="15" hidden="false" customHeight="false" outlineLevel="0" collapsed="false">
      <c r="A11" s="19" t="s">
        <v>1157</v>
      </c>
      <c r="B11" s="10" t="n">
        <f aca="false">IFERROR(B10/B5,0)</f>
        <v>0.326964563462312</v>
      </c>
      <c r="C11" s="8" t="s">
        <v>1158</v>
      </c>
    </row>
    <row r="12" customFormat="false" ht="15" hidden="false" customHeight="false" outlineLevel="0" collapsed="false">
      <c r="A12" s="19" t="s">
        <v>1159</v>
      </c>
      <c r="B12" s="20" t="n">
        <f aca="false">COUNTA('Raw Data'!$A$2:$A$561)</f>
        <v>560</v>
      </c>
      <c r="C12" s="8" t="s">
        <v>1160</v>
      </c>
    </row>
    <row r="13" customFormat="false" ht="15" hidden="false" customHeight="false" outlineLevel="0" collapsed="false">
      <c r="A13" s="19" t="s">
        <v>1161</v>
      </c>
      <c r="B13" s="20" t="n">
        <f aca="false">COUNTIFS('Raw Data'!$S$2:$S$561,"&lt;&gt;Cancelled",'Raw Data'!$S$2:$S$561,"&lt;&gt;Returned")</f>
        <v>484</v>
      </c>
      <c r="C13" s="8" t="s">
        <v>1162</v>
      </c>
    </row>
    <row r="14" customFormat="false" ht="15" hidden="false" customHeight="false" outlineLevel="0" collapsed="false">
      <c r="A14" s="19" t="s">
        <v>1163</v>
      </c>
      <c r="B14" s="20" t="n">
        <f aca="false">B12-B13</f>
        <v>76</v>
      </c>
      <c r="C14" s="8" t="s">
        <v>1164</v>
      </c>
    </row>
    <row r="15" customFormat="false" ht="15" hidden="false" customHeight="false" outlineLevel="0" collapsed="false">
      <c r="A15" s="19" t="s">
        <v>1165</v>
      </c>
      <c r="B15" s="20" t="n">
        <f aca="false">SUMIFS('Raw Data'!$J$2:$J$561,'Raw Data'!$S$2:$S$561,"&lt;&gt;Cancelled",'Raw Data'!$S$2:$S$561,"&lt;&gt;Returned")</f>
        <v>1145</v>
      </c>
      <c r="C15" s="8" t="s">
        <v>1166</v>
      </c>
    </row>
    <row r="16" customFormat="false" ht="15" hidden="false" customHeight="false" outlineLevel="0" collapsed="false">
      <c r="A16" s="19" t="s">
        <v>1167</v>
      </c>
      <c r="B16" s="21" t="n">
        <f aca="false">IFERROR(B5/B13,0)</f>
        <v>6782.46884400827</v>
      </c>
      <c r="C16" s="8" t="s">
        <v>1168</v>
      </c>
    </row>
    <row r="17" customFormat="false" ht="15" hidden="false" customHeight="false" outlineLevel="0" collapsed="false">
      <c r="A17" s="19" t="s">
        <v>1169</v>
      </c>
      <c r="B17" s="21" t="n">
        <f aca="false">IFERROR(B5/B15,0)</f>
        <v>2866.99993056769</v>
      </c>
      <c r="C17" s="8" t="s">
        <v>1170</v>
      </c>
    </row>
    <row r="19" customFormat="false" ht="15" hidden="false" customHeight="false" outlineLevel="0" collapsed="false">
      <c r="A19" s="5" t="s">
        <v>1171</v>
      </c>
    </row>
    <row r="20" customFormat="false" ht="39.75" hidden="false" customHeight="true" outlineLevel="0" collapsed="false">
      <c r="A20" s="12" t="s">
        <v>1172</v>
      </c>
      <c r="B20" s="12"/>
      <c r="C20" s="12"/>
    </row>
  </sheetData>
  <mergeCells count="1">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0" min="1" style="0" width="15"/>
  </cols>
  <sheetData>
    <row r="1" customFormat="false" ht="22.05" hidden="false" customHeight="false" outlineLevel="0" collapsed="false">
      <c r="A1" s="22" t="s">
        <v>1173</v>
      </c>
      <c r="B1" s="22"/>
      <c r="C1" s="22"/>
      <c r="D1" s="22"/>
      <c r="E1" s="22"/>
      <c r="F1" s="22"/>
    </row>
    <row r="2" customFormat="false" ht="15" hidden="false" customHeight="false" outlineLevel="0" collapsed="false">
      <c r="A2" s="23" t="s">
        <v>1174</v>
      </c>
      <c r="B2" s="23"/>
      <c r="C2" s="23"/>
      <c r="D2" s="23"/>
      <c r="E2" s="23"/>
      <c r="F2" s="23"/>
      <c r="G2" s="23"/>
      <c r="H2" s="23"/>
    </row>
    <row r="3" customFormat="false" ht="25.5" hidden="false" customHeight="true" outlineLevel="0" collapsed="false">
      <c r="A3" s="24" t="s">
        <v>1175</v>
      </c>
      <c r="B3" s="24"/>
      <c r="C3" s="24"/>
      <c r="D3" s="24"/>
      <c r="E3" s="24"/>
      <c r="F3" s="24"/>
      <c r="G3" s="24"/>
      <c r="H3" s="24"/>
      <c r="I3" s="24"/>
      <c r="J3" s="24"/>
      <c r="K3" s="24"/>
      <c r="L3" s="24"/>
      <c r="M3" s="24"/>
      <c r="N3" s="24"/>
    </row>
    <row r="5" customFormat="false" ht="18" hidden="false" customHeight="true" outlineLevel="0" collapsed="false">
      <c r="A5" s="25" t="s">
        <v>82</v>
      </c>
      <c r="B5" s="25"/>
      <c r="C5" s="25" t="s">
        <v>83</v>
      </c>
      <c r="D5" s="25"/>
      <c r="E5" s="25" t="s">
        <v>84</v>
      </c>
      <c r="F5" s="25"/>
      <c r="G5" s="25" t="s">
        <v>86</v>
      </c>
      <c r="H5" s="25"/>
      <c r="I5" s="25" t="s">
        <v>1176</v>
      </c>
      <c r="J5" s="25"/>
      <c r="K5" s="25" t="s">
        <v>1177</v>
      </c>
      <c r="L5" s="25"/>
      <c r="M5" s="25" t="s">
        <v>1165</v>
      </c>
      <c r="N5" s="25"/>
      <c r="O5" s="25" t="s">
        <v>1126</v>
      </c>
      <c r="P5" s="25"/>
    </row>
    <row r="6" customFormat="false" ht="24" hidden="false" customHeight="true" outlineLevel="0" collapsed="false">
      <c r="A6" s="26" t="n">
        <f aca="false">'KPI Summary'!B5</f>
        <v>3282714.9205</v>
      </c>
      <c r="B6" s="26"/>
      <c r="C6" s="26" t="n">
        <f aca="false">'KPI Summary'!B6</f>
        <v>1917480</v>
      </c>
      <c r="D6" s="26"/>
      <c r="E6" s="26" t="n">
        <f aca="false">'KPI Summary'!B7</f>
        <v>1365234.9205</v>
      </c>
      <c r="F6" s="26"/>
      <c r="G6" s="26" t="n">
        <f aca="false">'KPI Summary'!B10</f>
        <v>1073331.4509525</v>
      </c>
      <c r="H6" s="26"/>
      <c r="I6" s="27" t="n">
        <f aca="false">'KPI Summary'!B11</f>
        <v>0.326964563462312</v>
      </c>
      <c r="J6" s="27"/>
      <c r="K6" s="28" t="n">
        <f aca="false">'KPI Summary'!B13</f>
        <v>484</v>
      </c>
      <c r="L6" s="28"/>
      <c r="M6" s="28" t="n">
        <f aca="false">'KPI Summary'!B15</f>
        <v>1145</v>
      </c>
      <c r="N6" s="28"/>
      <c r="O6" s="26" t="n">
        <f aca="false">'KPI Summary'!B16</f>
        <v>6782.46884400827</v>
      </c>
      <c r="P6" s="26"/>
    </row>
    <row r="7" customFormat="false" ht="15" hidden="false" customHeight="false" outlineLevel="0" collapsed="false">
      <c r="A7" s="29"/>
      <c r="B7" s="29"/>
      <c r="C7" s="29"/>
      <c r="D7" s="29"/>
      <c r="E7" s="29"/>
      <c r="F7" s="29"/>
      <c r="G7" s="29"/>
      <c r="H7" s="29"/>
      <c r="I7" s="29"/>
      <c r="J7" s="29"/>
      <c r="K7" s="29"/>
      <c r="L7" s="29"/>
      <c r="M7" s="29"/>
      <c r="N7" s="29"/>
      <c r="O7" s="29"/>
      <c r="P7" s="29"/>
    </row>
  </sheetData>
  <mergeCells count="19">
    <mergeCell ref="A1:F1"/>
    <mergeCell ref="A2:H2"/>
    <mergeCell ref="A3:N3"/>
    <mergeCell ref="A5:B5"/>
    <mergeCell ref="C5:D5"/>
    <mergeCell ref="E5:F5"/>
    <mergeCell ref="G5:H5"/>
    <mergeCell ref="I5:J5"/>
    <mergeCell ref="K5:L5"/>
    <mergeCell ref="M5:N5"/>
    <mergeCell ref="O5:P5"/>
    <mergeCell ref="A6:B6"/>
    <mergeCell ref="C6:D6"/>
    <mergeCell ref="E6:F6"/>
    <mergeCell ref="G6:H6"/>
    <mergeCell ref="I6:J6"/>
    <mergeCell ref="K6:L6"/>
    <mergeCell ref="M6:N6"/>
    <mergeCell ref="O6:P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 collapsed="false" customWidth="true" hidden="false" outlineLevel="0" max="3" min="3" style="0" width="3"/>
  </cols>
  <sheetData>
    <row r="2" customFormat="false" ht="19.7" hidden="false" customHeight="false" outlineLevel="0" collapsed="false">
      <c r="B2" s="1" t="s">
        <v>1178</v>
      </c>
    </row>
    <row r="3" customFormat="false" ht="15" hidden="false" customHeight="false" outlineLevel="0" collapsed="false">
      <c r="B3" s="2" t="s">
        <v>1179</v>
      </c>
    </row>
    <row r="5" customFormat="false" ht="15" hidden="false" customHeight="false" outlineLevel="0" collapsed="false">
      <c r="B5" s="3" t="s">
        <v>1180</v>
      </c>
      <c r="C5" s="3"/>
    </row>
    <row r="6" customFormat="false" ht="15" hidden="false" customHeight="false" outlineLevel="0" collapsed="false">
      <c r="B6" s="5" t="s">
        <v>1181</v>
      </c>
    </row>
    <row r="7" customFormat="false" ht="15.75" hidden="false" customHeight="true" outlineLevel="0" collapsed="false">
      <c r="B7" s="30" t="str">
        <f aca="false">"The highest revenue month was "&amp;INDEX('Pivot Analysis'!$A$80:$A$91,MATCH(MAX('Pivot Analysis'!$B$80:$B$91),'Pivot Analysis'!$B$80:$B$91,0))&amp;" with revenue of Rs. "&amp;TEXT(MAX('Pivot Analysis'!$B$80:$B$91),"#,##0")</f>
        <v>The highest revenue month was Apr-26 with revenue of Rs. 384,240</v>
      </c>
      <c r="C7" s="30"/>
    </row>
    <row r="8" customFormat="false" ht="15" hidden="false" customHeight="false" outlineLevel="0" collapsed="false">
      <c r="B8" s="5" t="s">
        <v>1182</v>
      </c>
    </row>
    <row r="9" customFormat="false" ht="15.75" hidden="false" customHeight="true" outlineLevel="0" collapsed="false">
      <c r="B9" s="30" t="str">
        <f aca="false">"The lowest revenue month was "&amp;INDEX('Pivot Analysis'!$A$80:$A$91,MATCH(MIN('Pivot Analysis'!$B$80:$B$91),'Pivot Analysis'!$B$80:$B$91,0))&amp;" with revenue of Rs. "&amp;TEXT(MIN('Pivot Analysis'!$B$80:$B$91),"#,##0")</f>
        <v>The lowest revenue month was Nov-25 with revenue of Rs. 194,016</v>
      </c>
      <c r="C9" s="30"/>
    </row>
    <row r="10" customFormat="false" ht="15" hidden="false" customHeight="false" outlineLevel="0" collapsed="false">
      <c r="B10" s="5" t="s">
        <v>1183</v>
      </c>
    </row>
    <row r="11" customFormat="false" ht="15.75" hidden="false" customHeight="true" outlineLevel="0" collapsed="false">
      <c r="B11" s="30" t="str">
        <f aca="false">"The highest-performing region by revenue was "&amp;INDEX('Pivot Analysis'!$A$6:$A$10,MATCH(MAX('Pivot Analysis'!$B$6:$B$10),'Pivot Analysis'!$B$6:$B$10,0))&amp;" with revenue of Rs. "&amp;TEXT(MAX('Pivot Analysis'!$B$6:$B$10),"#,##0")</f>
        <v>The highest-performing region by revenue was Central with revenue of Rs. 858,494</v>
      </c>
      <c r="C11" s="30"/>
    </row>
    <row r="12" customFormat="false" ht="15" hidden="false" customHeight="false" outlineLevel="0" collapsed="false">
      <c r="B12" s="5" t="s">
        <v>1184</v>
      </c>
    </row>
    <row r="13" customFormat="false" ht="15.75" hidden="false" customHeight="true" outlineLevel="0" collapsed="false">
      <c r="B13" s="30" t="str">
        <f aca="false">"The category with the highest gross margin % was "&amp;INDEX('Pivot Analysis'!$A$15:$A$20,MATCH(MAX('Pivot Analysis'!$D$15:$D$20),'Pivot Analysis'!$D$15:$D$20,0))&amp;" at "&amp;TEXT(MAX('Pivot Analysis'!$D$15:$D$20),"0.0%")&amp;" gross margin"</f>
        <v>The category with the highest gross margin % was Mobile Accessories at 56.1% gross margin</v>
      </c>
      <c r="C13" s="30"/>
    </row>
    <row r="14" customFormat="false" ht="15" hidden="false" customHeight="false" outlineLevel="0" collapsed="false">
      <c r="B14" s="5" t="s">
        <v>1185</v>
      </c>
    </row>
    <row r="15" customFormat="false" ht="15.75" hidden="false" customHeight="true" outlineLevel="0" collapsed="false">
      <c r="B15" s="30" t="str">
        <f aca="false">"The top product by revenue was "&amp;INDEX('Pivot Analysis'!$A$25:$A$46,MATCH(MAX('Pivot Analysis'!$B$25:$B$46),'Pivot Analysis'!$B$25:$B$46,0))&amp;" with revenue of Rs. "&amp;TEXT(MAX('Pivot Analysis'!$B$25:$B$46),"#,##0")</f>
        <v>The top product by revenue was ViewClear 24-inch Monitor with revenue of Rs. 672,143</v>
      </c>
      <c r="C15" s="30"/>
    </row>
    <row r="16" customFormat="false" ht="15" hidden="false" customHeight="false" outlineLevel="0" collapsed="false">
      <c r="B16" s="5" t="s">
        <v>1186</v>
      </c>
    </row>
    <row r="17" customFormat="false" ht="15.75" hidden="false" customHeight="true" outlineLevel="0" collapsed="false">
      <c r="B17" s="30" t="str">
        <f aca="false">"The top product by gross profit was "&amp;INDEX('Pivot Analysis'!$A$25:$A$46,MATCH(MAX('Pivot Analysis'!$C$25:$C$46),'Pivot Analysis'!$C$25:$C$46,0))&amp;" with gross profit of Rs. "&amp;TEXT(MAX('Pivot Analysis'!$C$25:$C$46),"#,##0")</f>
        <v>The top product by gross profit was ViewClear 24-inch Monitor with gross profit of Rs. 283,343</v>
      </c>
      <c r="C17" s="30"/>
    </row>
    <row r="18" customFormat="false" ht="15" hidden="false" customHeight="false" outlineLevel="0" collapsed="false">
      <c r="B18" s="5" t="s">
        <v>1187</v>
      </c>
    </row>
    <row r="19" customFormat="false" ht="15.75" hidden="false" customHeight="true" outlineLevel="0" collapsed="false">
      <c r="B19" s="30" t="str">
        <f aca="false">"The top-performing salesperson by revenue was "&amp;INDEX('Pivot Analysis'!$A$51:$A$58,MATCH(MAX('Pivot Analysis'!$B$51:$B$58),'Pivot Analysis'!$B$51:$B$58,0))&amp;" with revenue of Rs. "&amp;TEXT(MAX('Pivot Analysis'!$B$51:$B$58),"#,##0")</f>
        <v>The top-performing salesperson by revenue was Suresh Kumar with revenue of Rs. 484,478</v>
      </c>
      <c r="C19" s="30"/>
    </row>
    <row r="20" customFormat="false" ht="15" hidden="false" customHeight="false" outlineLevel="0" collapsed="false">
      <c r="B20" s="5" t="s">
        <v>1188</v>
      </c>
    </row>
    <row r="21" customFormat="false" ht="15.75" hidden="false" customHeight="true" outlineLevel="0" collapsed="false">
      <c r="B21" s="30" t="str">
        <f aca="false">"The average order value across recognized (Delivered + Pending) orders is Rs. "&amp;TEXT('KPI Summary'!$B$16,"#,##0")&amp;", based on "&amp;TEXT('KPI Summary'!$B$13,"#,##0")&amp;" recognized orders"</f>
        <v>The average order value across recognized (Delivered + Pending) orders is Rs. 6,782, based on 484 recognized orders</v>
      </c>
      <c r="C21" s="30"/>
    </row>
    <row r="22" customFormat="false" ht="15" hidden="false" customHeight="false" outlineLevel="0" collapsed="false">
      <c r="B22" s="5" t="s">
        <v>1189</v>
      </c>
    </row>
    <row r="23" customFormat="false" ht="15.75" hidden="false" customHeight="true" outlineLevel="0" collapsed="false">
      <c r="B23" s="30" t="str">
        <f aca="false">"The overall net profit margin for the period is "&amp;TEXT('KPI Summary'!$B$11,"0.0%")&amp;" on recognized revenue of Rs. "&amp;TEXT('KPI Summary'!$B$5,"#,##0")</f>
        <v>The overall net profit margin for the period is 32.7% on recognized revenue of Rs. 3,282,715</v>
      </c>
      <c r="C23" s="30"/>
    </row>
    <row r="24" customFormat="false" ht="15" hidden="false" customHeight="false" outlineLevel="0" collapsed="false">
      <c r="B24" s="5" t="s">
        <v>1190</v>
      </c>
    </row>
    <row r="25" customFormat="false" ht="15.75" hidden="false" customHeight="true" outlineLevel="0" collapsed="false">
      <c r="B25" s="30" t="str">
        <f aca="false">"Operating expenses total Rs. "&amp;TEXT('KPI Summary'!$B$9,"#,##0")&amp;", which is "&amp;TEXT('KPI Summary'!$B$9/'KPI Summary'!$B$5,"0.0%")&amp;" of recognized revenue across all categories combined"</f>
        <v>Operating expenses total Rs. 291,903, which is 8.9% of recognized revenue across all categories combined</v>
      </c>
      <c r="C25" s="30"/>
    </row>
    <row r="26" customFormat="false" ht="15" hidden="false" customHeight="false" outlineLevel="0" collapsed="false">
      <c r="B26" s="5" t="s">
        <v>1191</v>
      </c>
    </row>
    <row r="27" customFormat="false" ht="15.75" hidden="false" customHeight="true" outlineLevel="0" collapsed="false">
      <c r="B27" s="30" t="str">
        <f aca="false">"Cancelled and Returned orders together account for "&amp;TEXT('KPI Summary'!$B$14/'KPI Summary'!$B$12,"0.0%")&amp;" of the "&amp;TEXT('KPI Summary'!$B$12,"#,##0")&amp;" total orders placed ("&amp;TEXT('KPI Summary'!$B$14,"#,##0")&amp;" orders), and are excluded from all revenue and profit figures in this workbook"</f>
        <v>Cancelled and Returned orders together account for 13.6% of the 560 total orders placed (76 orders), and are excluded from all revenue and profit figures in this workbook</v>
      </c>
      <c r="C27" s="30"/>
    </row>
    <row r="29" customFormat="false" ht="15" hidden="false" customHeight="false" outlineLevel="0" collapsed="false">
      <c r="B29" s="3" t="s">
        <v>1192</v>
      </c>
      <c r="C29" s="3"/>
    </row>
    <row r="30" customFormat="false" ht="27.75" hidden="false" customHeight="true" outlineLevel="0" collapsed="false">
      <c r="B30" s="31" t="s">
        <v>1193</v>
      </c>
      <c r="C30" s="31"/>
    </row>
    <row r="31" customFormat="false" ht="27.75" hidden="false" customHeight="true" outlineLevel="0" collapsed="false">
      <c r="B31" s="31" t="s">
        <v>1194</v>
      </c>
      <c r="C31" s="31"/>
    </row>
    <row r="32" customFormat="false" ht="27.75" hidden="false" customHeight="true" outlineLevel="0" collapsed="false">
      <c r="B32" s="31" t="s">
        <v>1195</v>
      </c>
      <c r="C32" s="31"/>
    </row>
    <row r="33" customFormat="false" ht="27.75" hidden="false" customHeight="true" outlineLevel="0" collapsed="false">
      <c r="B33" s="31" t="s">
        <v>1196</v>
      </c>
      <c r="C33" s="31"/>
    </row>
    <row r="34" customFormat="false" ht="27.75" hidden="false" customHeight="true" outlineLevel="0" collapsed="false">
      <c r="B34" s="31" t="s">
        <v>1197</v>
      </c>
      <c r="C34" s="31"/>
    </row>
  </sheetData>
  <mergeCells count="18">
    <mergeCell ref="B5:C5"/>
    <mergeCell ref="B7:C7"/>
    <mergeCell ref="B9:C9"/>
    <mergeCell ref="B11:C11"/>
    <mergeCell ref="B13:C13"/>
    <mergeCell ref="B15:C15"/>
    <mergeCell ref="B17:C17"/>
    <mergeCell ref="B19:C19"/>
    <mergeCell ref="B21:C21"/>
    <mergeCell ref="B23:C23"/>
    <mergeCell ref="B25:C25"/>
    <mergeCell ref="B27:C27"/>
    <mergeCell ref="B29:C29"/>
    <mergeCell ref="B30:C30"/>
    <mergeCell ref="B31:C31"/>
    <mergeCell ref="B32:C32"/>
    <mergeCell ref="B33:C33"/>
    <mergeCell ref="B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2026-08-10T19:21:10Z</dcterms:created>
  <dc:creator>openpyxl</dc:creator>
  <dc:description/>
  <dc:language>en-US</dc:language>
  <cp:lastModifiedBy/>
  <dcterms:modified xsi:type="dcterms:W3CDTF">2026-08-10T19:21:16Z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